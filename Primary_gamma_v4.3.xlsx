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autoCompressPictures="0" defaultThemeVersion="124226"/>
  <xr:revisionPtr revIDLastSave="0" documentId="13_ncr:1_{26431B8B-DE8B-43F3-9FC0-D3C81F2469D2}" xr6:coauthVersionLast="47" xr6:coauthVersionMax="47" xr10:uidLastSave="{00000000-0000-0000-0000-000000000000}"/>
  <bookViews>
    <workbookView xWindow="12290" yWindow="330" windowWidth="22860" windowHeight="20220" xr2:uid="{00000000-000D-0000-FFFF-FFFF00000000}"/>
  </bookViews>
  <sheets>
    <sheet name="TitlePage" sheetId="9" r:id="rId1"/>
    <sheet name="Measurement data" sheetId="6" r:id="rId2"/>
    <sheet name="Plots" sheetId="2" r:id="rId3"/>
    <sheet name="Raw Data" sheetId="8" r:id="rId4"/>
    <sheet name="References" sheetId="3" state="hidden" r:id="rId5"/>
    <sheet name="Reference1976" sheetId="7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4" i="6" l="1"/>
  <c r="F6" i="8" l="1"/>
  <c r="E6" i="8" s="1"/>
  <c r="F5" i="8"/>
  <c r="E5" i="8" s="1"/>
  <c r="J10" i="6" l="1"/>
  <c r="J9" i="6"/>
  <c r="D4" i="6"/>
  <c r="D5" i="6"/>
  <c r="C5" i="6"/>
  <c r="C4" i="6"/>
  <c r="C5" i="8"/>
  <c r="E9" i="6" s="1"/>
  <c r="E48" i="6" s="1"/>
  <c r="D5" i="8"/>
  <c r="F9" i="6" s="1"/>
  <c r="G48" i="6" s="1"/>
  <c r="G5" i="8"/>
  <c r="E4" i="6" s="1"/>
  <c r="H5" i="8"/>
  <c r="F4" i="6" s="1"/>
  <c r="I5" i="8"/>
  <c r="G4" i="6" s="1"/>
  <c r="J5" i="8"/>
  <c r="H4" i="6" s="1"/>
  <c r="K5" i="8"/>
  <c r="I4" i="6" s="1"/>
  <c r="L5" i="8"/>
  <c r="J4" i="6" s="1"/>
  <c r="M5" i="8"/>
  <c r="K4" i="6" s="1"/>
  <c r="N5" i="8"/>
  <c r="L4" i="6" s="1"/>
  <c r="O5" i="8"/>
  <c r="C9" i="6" s="1"/>
  <c r="I48" i="6" s="1"/>
  <c r="C6" i="8"/>
  <c r="E10" i="6" s="1"/>
  <c r="F48" i="6" s="1"/>
  <c r="D6" i="8"/>
  <c r="F10" i="6" s="1"/>
  <c r="H48" i="6" s="1"/>
  <c r="G6" i="8"/>
  <c r="E5" i="6" s="1"/>
  <c r="H6" i="8"/>
  <c r="F5" i="6" s="1"/>
  <c r="I6" i="8"/>
  <c r="G5" i="6" s="1"/>
  <c r="J6" i="8"/>
  <c r="H5" i="6" s="1"/>
  <c r="K6" i="8"/>
  <c r="I5" i="6" s="1"/>
  <c r="L6" i="8"/>
  <c r="J5" i="6" s="1"/>
  <c r="M6" i="8"/>
  <c r="K5" i="6" s="1"/>
  <c r="N6" i="8"/>
  <c r="L5" i="6" s="1"/>
  <c r="O6" i="8"/>
  <c r="M5" i="6" s="1"/>
  <c r="C7" i="8"/>
  <c r="E11" i="6" s="1"/>
  <c r="D7" i="8"/>
  <c r="F11" i="6" s="1"/>
  <c r="E7" i="8"/>
  <c r="C6" i="6" s="1"/>
  <c r="C47" i="6" s="1"/>
  <c r="F7" i="8"/>
  <c r="D6" i="6" s="1"/>
  <c r="G7" i="8"/>
  <c r="E6" i="6" s="1"/>
  <c r="H7" i="8"/>
  <c r="F6" i="6" s="1"/>
  <c r="I7" i="8"/>
  <c r="G6" i="6" s="1"/>
  <c r="J7" i="8"/>
  <c r="H6" i="6" s="1"/>
  <c r="K7" i="8"/>
  <c r="I6" i="6" s="1"/>
  <c r="L7" i="8"/>
  <c r="J6" i="6" s="1"/>
  <c r="M7" i="8"/>
  <c r="K6" i="6" s="1"/>
  <c r="N7" i="8"/>
  <c r="L6" i="6" s="1"/>
  <c r="O7" i="8"/>
  <c r="M6" i="6" s="1"/>
  <c r="B7" i="8"/>
  <c r="D11" i="6" s="1"/>
  <c r="B6" i="8"/>
  <c r="D10" i="6" s="1"/>
  <c r="D48" i="6" s="1"/>
  <c r="B5" i="8"/>
  <c r="D9" i="6" s="1"/>
  <c r="C48" i="6" s="1"/>
  <c r="G30" i="6"/>
  <c r="H30" i="6"/>
  <c r="I30" i="6"/>
  <c r="G31" i="6"/>
  <c r="H31" i="6"/>
  <c r="I31" i="6"/>
  <c r="L11" i="6" l="1"/>
  <c r="F16" i="6"/>
  <c r="I16" i="6"/>
  <c r="H16" i="6"/>
  <c r="K16" i="6"/>
  <c r="J16" i="6"/>
  <c r="G16" i="6"/>
  <c r="I13" i="6"/>
  <c r="I14" i="6" s="1"/>
  <c r="L16" i="6"/>
  <c r="E16" i="6"/>
  <c r="D16" i="6"/>
  <c r="H13" i="6"/>
  <c r="H14" i="6" s="1"/>
  <c r="C11" i="6"/>
  <c r="C46" i="6" s="1"/>
  <c r="M4" i="6"/>
  <c r="M13" i="6" s="1"/>
  <c r="M14" i="6" s="1"/>
  <c r="C10" i="6"/>
  <c r="J48" i="6" s="1"/>
  <c r="D13" i="6"/>
  <c r="D14" i="6" s="1"/>
  <c r="J11" i="6"/>
  <c r="G13" i="6"/>
  <c r="G14" i="6" s="1"/>
  <c r="K13" i="6"/>
  <c r="K14" i="6" s="1"/>
  <c r="E13" i="6"/>
  <c r="E14" i="6" s="1"/>
  <c r="F13" i="6"/>
  <c r="F14" i="6" s="1"/>
  <c r="L13" i="6"/>
  <c r="L14" i="6" s="1"/>
  <c r="C13" i="6"/>
  <c r="C14" i="6" s="1"/>
  <c r="J13" i="6"/>
  <c r="J14" i="6" s="1"/>
  <c r="J31" i="6"/>
  <c r="J30" i="6"/>
  <c r="D31" i="6"/>
  <c r="F30" i="6"/>
  <c r="E30" i="6"/>
  <c r="D30" i="6"/>
  <c r="C18" i="6"/>
  <c r="C20" i="6" s="1"/>
  <c r="F31" i="6"/>
  <c r="E31" i="6"/>
  <c r="L41" i="7"/>
  <c r="K41" i="7"/>
  <c r="L40" i="7"/>
  <c r="K40" i="7"/>
  <c r="L39" i="7"/>
  <c r="K39" i="7"/>
  <c r="L34" i="7"/>
  <c r="K34" i="7"/>
  <c r="L33" i="7"/>
  <c r="K33" i="7"/>
  <c r="L32" i="7"/>
  <c r="K32" i="7"/>
  <c r="L31" i="7"/>
  <c r="K31" i="7"/>
  <c r="L26" i="7"/>
  <c r="K26" i="7"/>
  <c r="L25" i="7"/>
  <c r="K25" i="7"/>
  <c r="L24" i="7"/>
  <c r="K24" i="7"/>
  <c r="L23" i="7"/>
  <c r="K23" i="7"/>
  <c r="L17" i="7"/>
  <c r="K17" i="7"/>
  <c r="L16" i="7"/>
  <c r="K16" i="7"/>
  <c r="L15" i="7"/>
  <c r="K15" i="7"/>
  <c r="L14" i="7"/>
  <c r="K14" i="7"/>
  <c r="K8" i="7"/>
  <c r="L8" i="7"/>
  <c r="K6" i="7"/>
  <c r="L6" i="7"/>
  <c r="K7" i="7"/>
  <c r="L7" i="7"/>
  <c r="L5" i="7"/>
  <c r="K5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E87" i="7"/>
  <c r="F87" i="7"/>
  <c r="E88" i="7"/>
  <c r="F88" i="7"/>
  <c r="E89" i="7"/>
  <c r="F89" i="7"/>
  <c r="E90" i="7"/>
  <c r="F90" i="7"/>
  <c r="E91" i="7"/>
  <c r="F91" i="7"/>
  <c r="E92" i="7"/>
  <c r="F92" i="7"/>
  <c r="E93" i="7"/>
  <c r="F93" i="7"/>
  <c r="E94" i="7"/>
  <c r="F94" i="7"/>
  <c r="E95" i="7"/>
  <c r="F95" i="7"/>
  <c r="E96" i="7"/>
  <c r="F96" i="7"/>
  <c r="E97" i="7"/>
  <c r="F97" i="7"/>
  <c r="E98" i="7"/>
  <c r="F98" i="7"/>
  <c r="E99" i="7"/>
  <c r="F99" i="7"/>
  <c r="E100" i="7"/>
  <c r="F100" i="7"/>
  <c r="E101" i="7"/>
  <c r="F101" i="7"/>
  <c r="E102" i="7"/>
  <c r="F102" i="7"/>
  <c r="E103" i="7"/>
  <c r="F103" i="7"/>
  <c r="E104" i="7"/>
  <c r="F104" i="7"/>
  <c r="E105" i="7"/>
  <c r="F105" i="7"/>
  <c r="E106" i="7"/>
  <c r="F106" i="7"/>
  <c r="E107" i="7"/>
  <c r="F107" i="7"/>
  <c r="E108" i="7"/>
  <c r="F108" i="7"/>
  <c r="E109" i="7"/>
  <c r="F109" i="7"/>
  <c r="E110" i="7"/>
  <c r="F110" i="7"/>
  <c r="E111" i="7"/>
  <c r="F111" i="7"/>
  <c r="E112" i="7"/>
  <c r="F112" i="7"/>
  <c r="E113" i="7"/>
  <c r="F113" i="7"/>
  <c r="E114" i="7"/>
  <c r="F114" i="7"/>
  <c r="E115" i="7"/>
  <c r="F115" i="7"/>
  <c r="E116" i="7"/>
  <c r="F116" i="7"/>
  <c r="E117" i="7"/>
  <c r="F117" i="7"/>
  <c r="E118" i="7"/>
  <c r="F118" i="7"/>
  <c r="E119" i="7"/>
  <c r="F119" i="7"/>
  <c r="E120" i="7"/>
  <c r="F120" i="7"/>
  <c r="E121" i="7"/>
  <c r="F121" i="7"/>
  <c r="E122" i="7"/>
  <c r="F122" i="7"/>
  <c r="E123" i="7"/>
  <c r="F123" i="7"/>
  <c r="E124" i="7"/>
  <c r="F124" i="7"/>
  <c r="E125" i="7"/>
  <c r="F125" i="7"/>
  <c r="E126" i="7"/>
  <c r="F126" i="7"/>
  <c r="E127" i="7"/>
  <c r="F127" i="7"/>
  <c r="E128" i="7"/>
  <c r="F128" i="7"/>
  <c r="E129" i="7"/>
  <c r="F129" i="7"/>
  <c r="E130" i="7"/>
  <c r="F130" i="7"/>
  <c r="E131" i="7"/>
  <c r="F131" i="7"/>
  <c r="E132" i="7"/>
  <c r="F132" i="7"/>
  <c r="E133" i="7"/>
  <c r="F133" i="7"/>
  <c r="E134" i="7"/>
  <c r="F134" i="7"/>
  <c r="E135" i="7"/>
  <c r="F135" i="7"/>
  <c r="E136" i="7"/>
  <c r="F136" i="7"/>
  <c r="E137" i="7"/>
  <c r="F137" i="7"/>
  <c r="E138" i="7"/>
  <c r="F138" i="7"/>
  <c r="E139" i="7"/>
  <c r="F139" i="7"/>
  <c r="E140" i="7"/>
  <c r="F140" i="7"/>
  <c r="E141" i="7"/>
  <c r="F141" i="7"/>
  <c r="E142" i="7"/>
  <c r="F142" i="7"/>
  <c r="E143" i="7"/>
  <c r="F143" i="7"/>
  <c r="E144" i="7"/>
  <c r="F144" i="7"/>
  <c r="E145" i="7"/>
  <c r="F145" i="7"/>
  <c r="E146" i="7"/>
  <c r="F146" i="7"/>
  <c r="E147" i="7"/>
  <c r="F147" i="7"/>
  <c r="E148" i="7"/>
  <c r="F148" i="7"/>
  <c r="E149" i="7"/>
  <c r="F149" i="7"/>
  <c r="E150" i="7"/>
  <c r="F150" i="7"/>
  <c r="E151" i="7"/>
  <c r="F151" i="7"/>
  <c r="E152" i="7"/>
  <c r="F152" i="7"/>
  <c r="E153" i="7"/>
  <c r="F153" i="7"/>
  <c r="E154" i="7"/>
  <c r="F154" i="7"/>
  <c r="E155" i="7"/>
  <c r="F155" i="7"/>
  <c r="E156" i="7"/>
  <c r="F156" i="7"/>
  <c r="E157" i="7"/>
  <c r="F157" i="7"/>
  <c r="E158" i="7"/>
  <c r="F158" i="7"/>
  <c r="E159" i="7"/>
  <c r="F159" i="7"/>
  <c r="E160" i="7"/>
  <c r="F160" i="7"/>
  <c r="E161" i="7"/>
  <c r="F161" i="7"/>
  <c r="E162" i="7"/>
  <c r="F162" i="7"/>
  <c r="E163" i="7"/>
  <c r="F163" i="7"/>
  <c r="E164" i="7"/>
  <c r="F164" i="7"/>
  <c r="E165" i="7"/>
  <c r="F165" i="7"/>
  <c r="E166" i="7"/>
  <c r="F166" i="7"/>
  <c r="E167" i="7"/>
  <c r="F167" i="7"/>
  <c r="E168" i="7"/>
  <c r="F168" i="7"/>
  <c r="E169" i="7"/>
  <c r="F169" i="7"/>
  <c r="E170" i="7"/>
  <c r="F170" i="7"/>
  <c r="E171" i="7"/>
  <c r="F171" i="7"/>
  <c r="E172" i="7"/>
  <c r="F172" i="7"/>
  <c r="E173" i="7"/>
  <c r="F173" i="7"/>
  <c r="E174" i="7"/>
  <c r="F174" i="7"/>
  <c r="E175" i="7"/>
  <c r="F175" i="7"/>
  <c r="E176" i="7"/>
  <c r="F176" i="7"/>
  <c r="E177" i="7"/>
  <c r="F177" i="7"/>
  <c r="E178" i="7"/>
  <c r="F178" i="7"/>
  <c r="E179" i="7"/>
  <c r="F179" i="7"/>
  <c r="E180" i="7"/>
  <c r="F180" i="7"/>
  <c r="E181" i="7"/>
  <c r="F181" i="7"/>
  <c r="E182" i="7"/>
  <c r="F182" i="7"/>
  <c r="E183" i="7"/>
  <c r="F183" i="7"/>
  <c r="E184" i="7"/>
  <c r="F184" i="7"/>
  <c r="E185" i="7"/>
  <c r="F185" i="7"/>
  <c r="E186" i="7"/>
  <c r="F186" i="7"/>
  <c r="E187" i="7"/>
  <c r="F187" i="7"/>
  <c r="E188" i="7"/>
  <c r="F188" i="7"/>
  <c r="E189" i="7"/>
  <c r="F189" i="7"/>
  <c r="E190" i="7"/>
  <c r="F190" i="7"/>
  <c r="E191" i="7"/>
  <c r="F191" i="7"/>
  <c r="E192" i="7"/>
  <c r="F192" i="7"/>
  <c r="E193" i="7"/>
  <c r="F193" i="7"/>
  <c r="E194" i="7"/>
  <c r="F194" i="7"/>
  <c r="E195" i="7"/>
  <c r="F195" i="7"/>
  <c r="E196" i="7"/>
  <c r="F196" i="7"/>
  <c r="E197" i="7"/>
  <c r="F197" i="7"/>
  <c r="E198" i="7"/>
  <c r="F198" i="7"/>
  <c r="E199" i="7"/>
  <c r="F199" i="7"/>
  <c r="E200" i="7"/>
  <c r="F200" i="7"/>
  <c r="E201" i="7"/>
  <c r="F201" i="7"/>
  <c r="E202" i="7"/>
  <c r="F202" i="7"/>
  <c r="E203" i="7"/>
  <c r="F203" i="7"/>
  <c r="E204" i="7"/>
  <c r="F204" i="7"/>
  <c r="F3" i="7"/>
  <c r="E3" i="7"/>
  <c r="C23" i="7"/>
  <c r="B23" i="7"/>
  <c r="B4" i="7"/>
  <c r="C4" i="7"/>
  <c r="B5" i="7"/>
  <c r="C5" i="7"/>
  <c r="B6" i="7"/>
  <c r="C6" i="7"/>
  <c r="B7" i="7"/>
  <c r="C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C3" i="7"/>
  <c r="B3" i="7"/>
  <c r="C30" i="6" l="1"/>
  <c r="C31" i="6"/>
  <c r="C34" i="6"/>
  <c r="C36" i="6" s="1"/>
  <c r="B16" i="6"/>
  <c r="N15" i="6" s="1"/>
  <c r="C21" i="6"/>
  <c r="C19" i="6"/>
  <c r="C22" i="6"/>
  <c r="L42" i="3"/>
  <c r="K42" i="3"/>
  <c r="K42" i="7" l="1"/>
  <c r="I15" i="6"/>
  <c r="C49" i="6"/>
  <c r="E15" i="6"/>
  <c r="L15" i="6"/>
  <c r="D15" i="6"/>
  <c r="N19" i="6"/>
  <c r="K15" i="6"/>
  <c r="G15" i="6"/>
  <c r="H15" i="6"/>
  <c r="C38" i="6"/>
  <c r="C35" i="6"/>
  <c r="C37" i="6"/>
  <c r="C15" i="6"/>
  <c r="F15" i="6"/>
  <c r="J15" i="6"/>
  <c r="M15" i="6"/>
  <c r="L42" i="7"/>
  <c r="N35" i="6" l="1"/>
</calcChain>
</file>

<file path=xl/sharedStrings.xml><?xml version="1.0" encoding="utf-8"?>
<sst xmlns="http://schemas.openxmlformats.org/spreadsheetml/2006/main" count="160" uniqueCount="61">
  <si>
    <t>R</t>
  </si>
  <si>
    <t>G</t>
  </si>
  <si>
    <t>B</t>
  </si>
  <si>
    <t>Y</t>
  </si>
  <si>
    <t>x</t>
  </si>
  <si>
    <t>y</t>
  </si>
  <si>
    <t>n</t>
  </si>
  <si>
    <t>CCT</t>
  </si>
  <si>
    <t>sRGB</t>
  </si>
  <si>
    <t>AdobeRGB</t>
  </si>
  <si>
    <t>Spectrum Locus</t>
  </si>
  <si>
    <t>Planckian Locus</t>
  </si>
  <si>
    <t>P3</t>
  </si>
  <si>
    <t>D65</t>
  </si>
  <si>
    <t>x: CIE31</t>
  </si>
  <si>
    <t>y: CIE31</t>
  </si>
  <si>
    <t>W</t>
  </si>
  <si>
    <t>Cy</t>
  </si>
  <si>
    <t>Mg</t>
  </si>
  <si>
    <t>Yw</t>
  </si>
  <si>
    <t>NTSC 1953</t>
  </si>
  <si>
    <t>% NTSC</t>
  </si>
  <si>
    <t>% P3</t>
  </si>
  <si>
    <t>% 2020</t>
  </si>
  <si>
    <t>% 709</t>
  </si>
  <si>
    <t>u:CIE1976</t>
  </si>
  <si>
    <t>v:CIE1976</t>
  </si>
  <si>
    <t>u</t>
  </si>
  <si>
    <t>v</t>
  </si>
  <si>
    <t>Area 76</t>
  </si>
  <si>
    <t>Area2020</t>
  </si>
  <si>
    <t>AreaP3</t>
  </si>
  <si>
    <t>Area709</t>
  </si>
  <si>
    <t>AreaNTSC</t>
  </si>
  <si>
    <t>Area 31</t>
  </si>
  <si>
    <t>Bk</t>
  </si>
  <si>
    <t>Reference</t>
  </si>
  <si>
    <t>Tmax =</t>
  </si>
  <si>
    <t>X</t>
  </si>
  <si>
    <t>Z</t>
  </si>
  <si>
    <t>Tgamma =</t>
  </si>
  <si>
    <t>TPrimaries =</t>
  </si>
  <si>
    <t>Tmin =</t>
  </si>
  <si>
    <t>contrast ratio</t>
  </si>
  <si>
    <t>Sample</t>
  </si>
  <si>
    <r>
      <t xml:space="preserve">Cells in this sheet are </t>
    </r>
    <r>
      <rPr>
        <b/>
        <sz val="11"/>
        <color rgb="FFFF0000"/>
        <rFont val="Calibri"/>
        <family val="2"/>
        <scheme val="minor"/>
      </rPr>
      <t>automatically updated</t>
    </r>
    <r>
      <rPr>
        <sz val="11"/>
        <color theme="1"/>
        <rFont val="Calibri"/>
        <family val="2"/>
        <scheme val="minor"/>
      </rPr>
      <t>, enter measurement values in "Raw Data" sheet</t>
    </r>
  </si>
  <si>
    <t>Dolby® Vision</t>
  </si>
  <si>
    <t>Consumer Decoder for Sink Devices</t>
  </si>
  <si>
    <t>Date:  Aug 7 2024</t>
  </si>
  <si>
    <t xml:space="preserve">© 2021 Dolby Laboratories. All rights reserved. </t>
  </si>
  <si>
    <t xml:space="preserve">Unauthorized use, sale, or duplication is prohibited. </t>
  </si>
  <si>
    <t xml:space="preserve"> Nothing in this document constitutes a license </t>
  </si>
  <si>
    <t>to practice any particular standard.</t>
  </si>
  <si>
    <t>For information, contact:</t>
  </si>
  <si>
    <t>Dolby Laboratories, Inc.</t>
  </si>
  <si>
    <t>1275 Market Street</t>
  </si>
  <si>
    <t>San Francisco, CA 94103-1410 USA Telephone 415-558-0200</t>
  </si>
  <si>
    <t xml:space="preserve">Fax 415-863-1373 </t>
  </si>
  <si>
    <t>http://www.dolby.com</t>
  </si>
  <si>
    <t>Version 4.3</t>
  </si>
  <si>
    <t>Panel Attributes Measurement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</si>
</sst>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8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Arial"/>
      <family val="2"/>
    </font>
    <font>
      <sz val="6"/>
      <name val="Calibri"/>
      <family val="3"/>
      <charset val="128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0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0" fillId="0" borderId="3" xfId="0" applyFill="1" applyBorder="1"/>
    <xf numFmtId="0" fontId="0" fillId="0" borderId="4" xfId="0" applyFill="1" applyBorder="1"/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" fillId="0" borderId="6" xfId="0" applyFont="1" applyFill="1" applyBorder="1" applyAlignment="1"/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7" fillId="0" borderId="0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1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 vertical="center" wrapText="1"/>
    </xf>
    <xf numFmtId="164" fontId="0" fillId="0" borderId="0" xfId="0" applyNumberFormat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3" fillId="0" borderId="6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center"/>
    </xf>
    <xf numFmtId="164" fontId="1" fillId="0" borderId="9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 vertical="center" wrapText="1"/>
    </xf>
    <xf numFmtId="164" fontId="0" fillId="0" borderId="15" xfId="0" applyNumberFormat="1" applyFill="1" applyBorder="1" applyAlignment="1">
      <alignment horizontal="center" vertical="center" wrapText="1"/>
    </xf>
    <xf numFmtId="164" fontId="0" fillId="0" borderId="10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10" xfId="0" applyNumberForma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8" xfId="0" applyNumberForma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/>
    </xf>
    <xf numFmtId="9" fontId="0" fillId="2" borderId="21" xfId="0" applyNumberFormat="1" applyFill="1" applyBorder="1" applyAlignment="1">
      <alignment horizontal="center"/>
    </xf>
    <xf numFmtId="0" fontId="0" fillId="2" borderId="21" xfId="0" applyFill="1" applyBorder="1" applyAlignment="1">
      <alignment horizontal="left"/>
    </xf>
    <xf numFmtId="0" fontId="0" fillId="2" borderId="21" xfId="0" applyFill="1" applyBorder="1" applyAlignment="1">
      <alignment horizontal="center" vertical="center" wrapText="1"/>
    </xf>
    <xf numFmtId="164" fontId="0" fillId="2" borderId="21" xfId="0" applyNumberFormat="1" applyFill="1" applyBorder="1" applyAlignment="1">
      <alignment horizontal="center" vertical="center" wrapText="1"/>
    </xf>
    <xf numFmtId="165" fontId="0" fillId="2" borderId="21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0" fontId="0" fillId="4" borderId="21" xfId="0" applyFill="1" applyBorder="1" applyAlignment="1">
      <alignment horizontal="left"/>
    </xf>
    <xf numFmtId="0" fontId="0" fillId="0" borderId="0" xfId="0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19" xfId="0" applyNumberFormat="1" applyFill="1" applyBorder="1" applyAlignment="1">
      <alignment horizontal="center"/>
    </xf>
    <xf numFmtId="0" fontId="0" fillId="5" borderId="21" xfId="0" applyFont="1" applyFill="1" applyBorder="1" applyAlignment="1">
      <alignment horizontal="center"/>
    </xf>
    <xf numFmtId="0" fontId="0" fillId="5" borderId="21" xfId="0" applyFont="1" applyFill="1" applyBorder="1"/>
    <xf numFmtId="164" fontId="0" fillId="5" borderId="21" xfId="0" applyNumberFormat="1" applyFont="1" applyFill="1" applyBorder="1"/>
    <xf numFmtId="2" fontId="0" fillId="5" borderId="21" xfId="0" applyNumberFormat="1" applyFont="1" applyFill="1" applyBorder="1"/>
    <xf numFmtId="0" fontId="0" fillId="0" borderId="0" xfId="0" applyFont="1" applyAlignment="1">
      <alignment horizontal="center"/>
    </xf>
    <xf numFmtId="0" fontId="0" fillId="0" borderId="0" xfId="0" applyFont="1"/>
    <xf numFmtId="2" fontId="0" fillId="0" borderId="21" xfId="0" applyNumberFormat="1" applyFont="1" applyBorder="1"/>
    <xf numFmtId="0" fontId="0" fillId="4" borderId="22" xfId="0" applyFont="1" applyFill="1" applyBorder="1" applyAlignment="1"/>
    <xf numFmtId="165" fontId="0" fillId="4" borderId="22" xfId="0" applyNumberFormat="1" applyFont="1" applyFill="1" applyBorder="1" applyAlignment="1">
      <alignment horizontal="center"/>
    </xf>
    <xf numFmtId="0" fontId="0" fillId="0" borderId="22" xfId="0" applyFont="1" applyBorder="1" applyAlignment="1">
      <alignment horizontal="center"/>
    </xf>
    <xf numFmtId="166" fontId="0" fillId="4" borderId="22" xfId="0" applyNumberFormat="1" applyFont="1" applyFill="1" applyBorder="1" applyAlignment="1">
      <alignment horizontal="center"/>
    </xf>
    <xf numFmtId="164" fontId="0" fillId="4" borderId="22" xfId="0" applyNumberFormat="1" applyFont="1" applyFill="1" applyBorder="1" applyAlignment="1">
      <alignment horizontal="center"/>
    </xf>
    <xf numFmtId="0" fontId="0" fillId="4" borderId="22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vertical="center"/>
    </xf>
    <xf numFmtId="0" fontId="14" fillId="0" borderId="0" xfId="0" applyFont="1"/>
    <xf numFmtId="0" fontId="5" fillId="0" borderId="0" xfId="19" applyAlignment="1">
      <alignment horizontal="left" vertical="top"/>
    </xf>
    <xf numFmtId="0" fontId="0" fillId="0" borderId="0" xfId="0" applyAlignment="1">
      <alignment horizontal="left" vertical="top"/>
    </xf>
  </cellXfs>
  <cellStyles count="2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/>
    <cellStyle name="Normal" xfId="0" builtinId="0"/>
  </cellStyles>
  <dxfs count="0"/>
  <tableStyles count="0" defaultTableStyle="TableStyleMedium2" defaultPivotStyle="PivotStyleMedium9"/>
  <colors>
    <mruColors>
      <color rgb="FFFFFFCC"/>
      <color rgb="FFFF0000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'Measurement data'!$B$2:$M$2</c:f>
          <c:strCache>
            <c:ptCount val="12"/>
            <c:pt idx="0">
              <c:v>Sample</c:v>
            </c:pt>
          </c:strCache>
        </c:strRef>
      </c:tx>
      <c:layout>
        <c:manualLayout>
          <c:xMode val="edge"/>
          <c:yMode val="edge"/>
          <c:x val="0.74061917970889946"/>
          <c:y val="0.86934511775399814"/>
        </c:manualLayout>
      </c:layout>
      <c:overlay val="1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42039910406001E-2"/>
          <c:y val="9.6366359447864897E-3"/>
          <c:w val="0.92226101688553286"/>
          <c:h val="0.957684626901667"/>
        </c:manualLayout>
      </c:layout>
      <c:scatterChart>
        <c:scatterStyle val="lineMarker"/>
        <c:varyColors val="0"/>
        <c:ser>
          <c:idx val="4"/>
          <c:order val="0"/>
          <c:tx>
            <c:v>Specrum Locus</c:v>
          </c:tx>
          <c:spPr>
            <a:ln w="6350">
              <a:solidFill>
                <a:schemeClr val="bg1">
                  <a:lumMod val="5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References!$E$3:$E$204</c:f>
              <c:numCache>
                <c:formatCode>General</c:formatCode>
                <c:ptCount val="202"/>
                <c:pt idx="0">
                  <c:v>0.17411223442634155</c:v>
                </c:pt>
                <c:pt idx="1">
                  <c:v>0.17407258352145916</c:v>
                </c:pt>
                <c:pt idx="2">
                  <c:v>0.17403627668056365</c:v>
                </c:pt>
                <c:pt idx="3">
                  <c:v>0.17397193226156821</c:v>
                </c:pt>
                <c:pt idx="4">
                  <c:v>0.17388903724278723</c:v>
                </c:pt>
                <c:pt idx="5">
                  <c:v>0.17380077262082802</c:v>
                </c:pt>
                <c:pt idx="6">
                  <c:v>0.17370535274904986</c:v>
                </c:pt>
                <c:pt idx="7">
                  <c:v>0.1736060182169068</c:v>
                </c:pt>
                <c:pt idx="8">
                  <c:v>0.17351444871013735</c:v>
                </c:pt>
                <c:pt idx="9">
                  <c:v>0.17342366622583322</c:v>
                </c:pt>
                <c:pt idx="10">
                  <c:v>0.17333686548078087</c:v>
                </c:pt>
                <c:pt idx="11">
                  <c:v>0.17323792045311176</c:v>
                </c:pt>
                <c:pt idx="12">
                  <c:v>0.17310101177525991</c:v>
                </c:pt>
                <c:pt idx="13">
                  <c:v>0.17293425685085945</c:v>
                </c:pt>
                <c:pt idx="14">
                  <c:v>0.17275115260334731</c:v>
                </c:pt>
                <c:pt idx="15">
                  <c:v>0.17257655084880216</c:v>
                </c:pt>
                <c:pt idx="16">
                  <c:v>0.1723956033841732</c:v>
                </c:pt>
                <c:pt idx="17">
                  <c:v>0.17219236036195854</c:v>
                </c:pt>
                <c:pt idx="18">
                  <c:v>0.17198244593822173</c:v>
                </c:pt>
                <c:pt idx="19">
                  <c:v>0.17174121370573661</c:v>
                </c:pt>
                <c:pt idx="20">
                  <c:v>0.17140743386310878</c:v>
                </c:pt>
                <c:pt idx="21">
                  <c:v>0.17099257422180436</c:v>
                </c:pt>
                <c:pt idx="22">
                  <c:v>0.17054066192352893</c:v>
                </c:pt>
                <c:pt idx="23">
                  <c:v>0.17005015866814935</c:v>
                </c:pt>
                <c:pt idx="24">
                  <c:v>0.16950460253225408</c:v>
                </c:pt>
                <c:pt idx="25">
                  <c:v>0.16887752067098924</c:v>
                </c:pt>
                <c:pt idx="26">
                  <c:v>0.1681461454615307</c:v>
                </c:pt>
                <c:pt idx="27">
                  <c:v>0.16732832574459608</c:v>
                </c:pt>
                <c:pt idx="28">
                  <c:v>0.16644632713500276</c:v>
                </c:pt>
                <c:pt idx="29">
                  <c:v>0.16548329901146577</c:v>
                </c:pt>
                <c:pt idx="30">
                  <c:v>0.16441175637527497</c:v>
                </c:pt>
                <c:pt idx="31">
                  <c:v>0.16320989595442198</c:v>
                </c:pt>
                <c:pt idx="32">
                  <c:v>0.16185143806508925</c:v>
                </c:pt>
                <c:pt idx="33">
                  <c:v>0.16030959501938935</c:v>
                </c:pt>
                <c:pt idx="34">
                  <c:v>0.15857311107590655</c:v>
                </c:pt>
                <c:pt idx="35">
                  <c:v>0.15664166239575081</c:v>
                </c:pt>
                <c:pt idx="36">
                  <c:v>0.15452461249468066</c:v>
                </c:pt>
                <c:pt idx="37">
                  <c:v>0.15221923622825251</c:v>
                </c:pt>
                <c:pt idx="38">
                  <c:v>0.14969056475871326</c:v>
                </c:pt>
                <c:pt idx="39">
                  <c:v>0.14692822650137571</c:v>
                </c:pt>
                <c:pt idx="40">
                  <c:v>0.14396039603960395</c:v>
                </c:pt>
                <c:pt idx="41">
                  <c:v>0.1407956466645903</c:v>
                </c:pt>
                <c:pt idx="42">
                  <c:v>0.13736375793511826</c:v>
                </c:pt>
                <c:pt idx="43">
                  <c:v>0.13350934095590797</c:v>
                </c:pt>
                <c:pt idx="44">
                  <c:v>0.12908578655718694</c:v>
                </c:pt>
                <c:pt idx="45">
                  <c:v>0.12411847672778563</c:v>
                </c:pt>
                <c:pt idx="46">
                  <c:v>0.11870127645203925</c:v>
                </c:pt>
                <c:pt idx="47">
                  <c:v>0.11277605484761011</c:v>
                </c:pt>
                <c:pt idx="48">
                  <c:v>0.10626073531792782</c:v>
                </c:pt>
                <c:pt idx="49">
                  <c:v>9.9127599901673302E-2</c:v>
                </c:pt>
                <c:pt idx="50">
                  <c:v>9.1293515716726656E-2</c:v>
                </c:pt>
                <c:pt idx="51">
                  <c:v>8.2679534481970976E-2</c:v>
                </c:pt>
                <c:pt idx="52">
                  <c:v>7.3437259904749766E-2</c:v>
                </c:pt>
                <c:pt idx="53">
                  <c:v>6.3993023686906653E-2</c:v>
                </c:pt>
                <c:pt idx="54">
                  <c:v>5.4666522876195216E-2</c:v>
                </c:pt>
                <c:pt idx="55">
                  <c:v>4.5390734674777722E-2</c:v>
                </c:pt>
                <c:pt idx="56">
                  <c:v>3.619510915393985E-2</c:v>
                </c:pt>
                <c:pt idx="57">
                  <c:v>2.7494190534784295E-2</c:v>
                </c:pt>
                <c:pt idx="58">
                  <c:v>1.9704636302953663E-2</c:v>
                </c:pt>
                <c:pt idx="59">
                  <c:v>1.3183041153080763E-2</c:v>
                </c:pt>
                <c:pt idx="60">
                  <c:v>8.1680280046674426E-3</c:v>
                </c:pt>
                <c:pt idx="61">
                  <c:v>4.8754299926907947E-3</c:v>
                </c:pt>
                <c:pt idx="62">
                  <c:v>3.6363842254527679E-3</c:v>
                </c:pt>
                <c:pt idx="63">
                  <c:v>4.6457132325555262E-3</c:v>
                </c:pt>
                <c:pt idx="64">
                  <c:v>7.9883958286533531E-3</c:v>
                </c:pt>
                <c:pt idx="65">
                  <c:v>1.3870246085011185E-2</c:v>
                </c:pt>
                <c:pt idx="66">
                  <c:v>2.2244205694743918E-2</c:v>
                </c:pt>
                <c:pt idx="67">
                  <c:v>3.2820357522217493E-2</c:v>
                </c:pt>
                <c:pt idx="68">
                  <c:v>4.5327984829413914E-2</c:v>
                </c:pt>
                <c:pt idx="69">
                  <c:v>5.9325533351987141E-2</c:v>
                </c:pt>
                <c:pt idx="70">
                  <c:v>7.4302424773374967E-2</c:v>
                </c:pt>
                <c:pt idx="71">
                  <c:v>8.9941739585336078E-2</c:v>
                </c:pt>
                <c:pt idx="72">
                  <c:v>0.1060211073322406</c:v>
                </c:pt>
                <c:pt idx="73">
                  <c:v>0.12234736703370142</c:v>
                </c:pt>
                <c:pt idx="74">
                  <c:v>0.13870234921423477</c:v>
                </c:pt>
                <c:pt idx="75">
                  <c:v>0.15472206121571341</c:v>
                </c:pt>
                <c:pt idx="76">
                  <c:v>0.17023719547892346</c:v>
                </c:pt>
                <c:pt idx="77">
                  <c:v>0.185390757399363</c:v>
                </c:pt>
                <c:pt idx="78">
                  <c:v>0.20030879814494176</c:v>
                </c:pt>
                <c:pt idx="79">
                  <c:v>0.21502955000576848</c:v>
                </c:pt>
                <c:pt idx="80">
                  <c:v>0.22961967264964023</c:v>
                </c:pt>
                <c:pt idx="81">
                  <c:v>0.24413255647382395</c:v>
                </c:pt>
                <c:pt idx="82">
                  <c:v>0.25857750845525057</c:v>
                </c:pt>
                <c:pt idx="83">
                  <c:v>0.27295760351093018</c:v>
                </c:pt>
                <c:pt idx="84">
                  <c:v>0.28729240908025949</c:v>
                </c:pt>
                <c:pt idx="85">
                  <c:v>0.30160379939575122</c:v>
                </c:pt>
                <c:pt idx="86">
                  <c:v>0.31591439444899189</c:v>
                </c:pt>
                <c:pt idx="87">
                  <c:v>0.33021554535689746</c:v>
                </c:pt>
                <c:pt idx="88">
                  <c:v>0.34451319835545352</c:v>
                </c:pt>
                <c:pt idx="89">
                  <c:v>0.35881368668430313</c:v>
                </c:pt>
                <c:pt idx="90">
                  <c:v>0.3731015438684574</c:v>
                </c:pt>
                <c:pt idx="91">
                  <c:v>0.38737897795864384</c:v>
                </c:pt>
                <c:pt idx="92">
                  <c:v>0.40162591883118104</c:v>
                </c:pt>
                <c:pt idx="93">
                  <c:v>0.41583577470555944</c:v>
                </c:pt>
                <c:pt idx="94">
                  <c:v>0.42998862651243847</c:v>
                </c:pt>
                <c:pt idx="95">
                  <c:v>0.44406246358233309</c:v>
                </c:pt>
                <c:pt idx="96">
                  <c:v>0.45804066564742263</c:v>
                </c:pt>
                <c:pt idx="97">
                  <c:v>0.47189874389966813</c:v>
                </c:pt>
                <c:pt idx="98">
                  <c:v>0.48561158705209129</c:v>
                </c:pt>
                <c:pt idx="99">
                  <c:v>0.49915066833429805</c:v>
                </c:pt>
                <c:pt idx="100">
                  <c:v>0.51248636678179682</c:v>
                </c:pt>
                <c:pt idx="101">
                  <c:v>0.52560048898545109</c:v>
                </c:pt>
                <c:pt idx="102">
                  <c:v>0.53846276190255371</c:v>
                </c:pt>
                <c:pt idx="103">
                  <c:v>0.55103105021229248</c:v>
                </c:pt>
                <c:pt idx="104">
                  <c:v>0.56326931237315703</c:v>
                </c:pt>
                <c:pt idx="105">
                  <c:v>0.57515131136516473</c:v>
                </c:pt>
                <c:pt idx="106">
                  <c:v>0.58665018689089132</c:v>
                </c:pt>
                <c:pt idx="107">
                  <c:v>0.5976581621052407</c:v>
                </c:pt>
                <c:pt idx="108">
                  <c:v>0.60803511113228548</c:v>
                </c:pt>
                <c:pt idx="109">
                  <c:v>0.61777872558528291</c:v>
                </c:pt>
                <c:pt idx="110">
                  <c:v>0.62703659976387249</c:v>
                </c:pt>
                <c:pt idx="111">
                  <c:v>0.63589981957626585</c:v>
                </c:pt>
                <c:pt idx="112">
                  <c:v>0.64427296065727446</c:v>
                </c:pt>
                <c:pt idx="113">
                  <c:v>0.65202823559517908</c:v>
                </c:pt>
                <c:pt idx="114">
                  <c:v>0.65916613469271157</c:v>
                </c:pt>
                <c:pt idx="115">
                  <c:v>0.66576357623809712</c:v>
                </c:pt>
                <c:pt idx="116">
                  <c:v>0.67185866714758857</c:v>
                </c:pt>
                <c:pt idx="117">
                  <c:v>0.6774588884196644</c:v>
                </c:pt>
                <c:pt idx="118">
                  <c:v>0.68258157403560582</c:v>
                </c:pt>
                <c:pt idx="119">
                  <c:v>0.6872504545566942</c:v>
                </c:pt>
                <c:pt idx="120">
                  <c:v>0.69150397296170196</c:v>
                </c:pt>
                <c:pt idx="121">
                  <c:v>0.69538863810195151</c:v>
                </c:pt>
                <c:pt idx="122">
                  <c:v>0.69894391057540062</c:v>
                </c:pt>
                <c:pt idx="123">
                  <c:v>0.70219258876366919</c:v>
                </c:pt>
                <c:pt idx="124">
                  <c:v>0.70516285342369045</c:v>
                </c:pt>
                <c:pt idx="125">
                  <c:v>0.70791779161386303</c:v>
                </c:pt>
                <c:pt idx="126">
                  <c:v>0.71050039449537117</c:v>
                </c:pt>
                <c:pt idx="127">
                  <c:v>0.71290123112984993</c:v>
                </c:pt>
                <c:pt idx="128">
                  <c:v>0.71511705380610857</c:v>
                </c:pt>
                <c:pt idx="129">
                  <c:v>0.71715861364212141</c:v>
                </c:pt>
                <c:pt idx="130">
                  <c:v>0.71903294162974374</c:v>
                </c:pt>
                <c:pt idx="131">
                  <c:v>0.72075270663980695</c:v>
                </c:pt>
                <c:pt idx="132">
                  <c:v>0.72231491601625686</c:v>
                </c:pt>
                <c:pt idx="133">
                  <c:v>0.72370191654675942</c:v>
                </c:pt>
                <c:pt idx="134">
                  <c:v>0.72491440513420979</c:v>
                </c:pt>
                <c:pt idx="135">
                  <c:v>0.72599231754161331</c:v>
                </c:pt>
                <c:pt idx="136">
                  <c:v>0.726974970468941</c:v>
                </c:pt>
                <c:pt idx="137">
                  <c:v>0.72786431079265246</c:v>
                </c:pt>
                <c:pt idx="138">
                  <c:v>0.7286564871003478</c:v>
                </c:pt>
                <c:pt idx="139">
                  <c:v>0.72936095069467233</c:v>
                </c:pt>
                <c:pt idx="140">
                  <c:v>0.72996901283753868</c:v>
                </c:pt>
                <c:pt idx="141">
                  <c:v>0.73047416530226228</c:v>
                </c:pt>
                <c:pt idx="142">
                  <c:v>0.73089625224290145</c:v>
                </c:pt>
                <c:pt idx="143">
                  <c:v>0.7312796359190783</c:v>
                </c:pt>
                <c:pt idx="144">
                  <c:v>0.73164997092201434</c:v>
                </c:pt>
                <c:pt idx="145">
                  <c:v>0.73199329983249584</c:v>
                </c:pt>
                <c:pt idx="146">
                  <c:v>0.73229983108462438</c:v>
                </c:pt>
                <c:pt idx="147">
                  <c:v>0.732581493590162</c:v>
                </c:pt>
                <c:pt idx="148">
                  <c:v>0.73285864726847805</c:v>
                </c:pt>
                <c:pt idx="149">
                  <c:v>0.7331416711371237</c:v>
                </c:pt>
                <c:pt idx="150">
                  <c:v>0.73341696722596839</c:v>
                </c:pt>
                <c:pt idx="151">
                  <c:v>0.73368329643559604</c:v>
                </c:pt>
                <c:pt idx="152">
                  <c:v>0.73393569031449191</c:v>
                </c:pt>
                <c:pt idx="153">
                  <c:v>0.7341425568966552</c:v>
                </c:pt>
                <c:pt idx="154">
                  <c:v>0.73428644636675966</c:v>
                </c:pt>
                <c:pt idx="155">
                  <c:v>0.7343901649951472</c:v>
                </c:pt>
                <c:pt idx="156">
                  <c:v>0.73448217041109964</c:v>
                </c:pt>
                <c:pt idx="157">
                  <c:v>0.73455951842228906</c:v>
                </c:pt>
                <c:pt idx="158">
                  <c:v>0.73462109471289894</c:v>
                </c:pt>
                <c:pt idx="159">
                  <c:v>0.73467337801056731</c:v>
                </c:pt>
                <c:pt idx="160">
                  <c:v>0.73469002325828081</c:v>
                </c:pt>
                <c:pt idx="161">
                  <c:v>0.73469000650135696</c:v>
                </c:pt>
                <c:pt idx="162">
                  <c:v>0.73468999733935991</c:v>
                </c:pt>
                <c:pt idx="163">
                  <c:v>0.73469000177994792</c:v>
                </c:pt>
                <c:pt idx="164">
                  <c:v>0.73468999752454311</c:v>
                </c:pt>
                <c:pt idx="165">
                  <c:v>0.73468998823297438</c:v>
                </c:pt>
                <c:pt idx="166">
                  <c:v>0.7346900167990783</c:v>
                </c:pt>
                <c:pt idx="167">
                  <c:v>0.73468999251546707</c:v>
                </c:pt>
                <c:pt idx="168">
                  <c:v>0.73469001758965224</c:v>
                </c:pt>
                <c:pt idx="169">
                  <c:v>0.73468998337311942</c:v>
                </c:pt>
                <c:pt idx="170">
                  <c:v>0.73469000414816099</c:v>
                </c:pt>
                <c:pt idx="171">
                  <c:v>0.73468993156634477</c:v>
                </c:pt>
                <c:pt idx="172">
                  <c:v>0.73469005509968044</c:v>
                </c:pt>
                <c:pt idx="173">
                  <c:v>0.73468989170882604</c:v>
                </c:pt>
                <c:pt idx="174">
                  <c:v>0.73469003003178435</c:v>
                </c:pt>
                <c:pt idx="175">
                  <c:v>0.73468995204520882</c:v>
                </c:pt>
                <c:pt idx="176">
                  <c:v>0.73468987129847529</c:v>
                </c:pt>
                <c:pt idx="177">
                  <c:v>0.73469028384845769</c:v>
                </c:pt>
                <c:pt idx="178">
                  <c:v>0.73468974464449577</c:v>
                </c:pt>
                <c:pt idx="179">
                  <c:v>0.73468964580756679</c:v>
                </c:pt>
                <c:pt idx="180">
                  <c:v>0.7346901186974264</c:v>
                </c:pt>
                <c:pt idx="181">
                  <c:v>0.7346895900581818</c:v>
                </c:pt>
                <c:pt idx="182">
                  <c:v>0.73468945929399831</c:v>
                </c:pt>
                <c:pt idx="183">
                  <c:v>0.73469028547137982</c:v>
                </c:pt>
                <c:pt idx="184">
                  <c:v>0.73468921871612924</c:v>
                </c:pt>
                <c:pt idx="185">
                  <c:v>0.73468995204520882</c:v>
                </c:pt>
                <c:pt idx="186">
                  <c:v>0.73469071155543231</c:v>
                </c:pt>
                <c:pt idx="187">
                  <c:v>0.73468958629028014</c:v>
                </c:pt>
                <c:pt idx="188">
                  <c:v>0.73468915720807992</c:v>
                </c:pt>
                <c:pt idx="189">
                  <c:v>0.73469049919732676</c:v>
                </c:pt>
                <c:pt idx="190">
                  <c:v>0.73469053862242484</c:v>
                </c:pt>
                <c:pt idx="191">
                  <c:v>0.73468869381451685</c:v>
                </c:pt>
                <c:pt idx="192">
                  <c:v>0.73469197134834408</c:v>
                </c:pt>
                <c:pt idx="193">
                  <c:v>0.73469114027616633</c:v>
                </c:pt>
                <c:pt idx="194">
                  <c:v>0.73468727617199225</c:v>
                </c:pt>
                <c:pt idx="195">
                  <c:v>0.73468936546539909</c:v>
                </c:pt>
                <c:pt idx="196">
                  <c:v>0.73468662054111167</c:v>
                </c:pt>
                <c:pt idx="197">
                  <c:v>0.7346852999894925</c:v>
                </c:pt>
                <c:pt idx="198">
                  <c:v>0.73468456988021291</c:v>
                </c:pt>
                <c:pt idx="199">
                  <c:v>0.73469041822048264</c:v>
                </c:pt>
                <c:pt idx="200">
                  <c:v>0.73468646265131876</c:v>
                </c:pt>
                <c:pt idx="201">
                  <c:v>0.17411223442634155</c:v>
                </c:pt>
              </c:numCache>
            </c:numRef>
          </c:xVal>
          <c:yVal>
            <c:numRef>
              <c:f>References!$F$3:$F$204</c:f>
              <c:numCache>
                <c:formatCode>General</c:formatCode>
                <c:ptCount val="202"/>
                <c:pt idx="0">
                  <c:v>4.963725981452719E-3</c:v>
                </c:pt>
                <c:pt idx="1">
                  <c:v>4.9725848039546654E-3</c:v>
                </c:pt>
                <c:pt idx="2">
                  <c:v>4.9859267212831564E-3</c:v>
                </c:pt>
                <c:pt idx="3">
                  <c:v>4.9640687578142535E-3</c:v>
                </c:pt>
                <c:pt idx="4">
                  <c:v>4.926040123404923E-3</c:v>
                </c:pt>
                <c:pt idx="5">
                  <c:v>4.9154119053734062E-3</c:v>
                </c:pt>
                <c:pt idx="6">
                  <c:v>4.9370983710951685E-3</c:v>
                </c:pt>
                <c:pt idx="7">
                  <c:v>4.9398952711092537E-3</c:v>
                </c:pt>
                <c:pt idx="8">
                  <c:v>4.8954526321382807E-3</c:v>
                </c:pt>
                <c:pt idx="9">
                  <c:v>4.8363121222105634E-3</c:v>
                </c:pt>
                <c:pt idx="10">
                  <c:v>4.7967434472668919E-3</c:v>
                </c:pt>
                <c:pt idx="11">
                  <c:v>4.7788879322168635E-3</c:v>
                </c:pt>
                <c:pt idx="12">
                  <c:v>4.7740331654470697E-3</c:v>
                </c:pt>
                <c:pt idx="13">
                  <c:v>4.7811471717814661E-3</c:v>
                </c:pt>
                <c:pt idx="14">
                  <c:v>4.7987620992631357E-3</c:v>
                </c:pt>
                <c:pt idx="15">
                  <c:v>4.7993019197207672E-3</c:v>
                </c:pt>
                <c:pt idx="16">
                  <c:v>4.7961185889349089E-3</c:v>
                </c:pt>
                <c:pt idx="17">
                  <c:v>4.814885214020498E-3</c:v>
                </c:pt>
                <c:pt idx="18">
                  <c:v>4.8550101685644583E-3</c:v>
                </c:pt>
                <c:pt idx="19">
                  <c:v>4.9393324566168722E-3</c:v>
                </c:pt>
                <c:pt idx="20">
                  <c:v>5.1021709737493308E-3</c:v>
                </c:pt>
                <c:pt idx="21">
                  <c:v>5.3339077620158182E-3</c:v>
                </c:pt>
                <c:pt idx="22">
                  <c:v>5.6209699334746214E-3</c:v>
                </c:pt>
                <c:pt idx="23">
                  <c:v>5.973895107891071E-3</c:v>
                </c:pt>
                <c:pt idx="24">
                  <c:v>6.3980369068780294E-3</c:v>
                </c:pt>
                <c:pt idx="25">
                  <c:v>6.900243887930522E-3</c:v>
                </c:pt>
                <c:pt idx="26">
                  <c:v>7.4906796663236274E-3</c:v>
                </c:pt>
                <c:pt idx="27">
                  <c:v>8.1753996750012423E-3</c:v>
                </c:pt>
                <c:pt idx="28">
                  <c:v>8.9644004177574996E-3</c:v>
                </c:pt>
                <c:pt idx="29">
                  <c:v>9.8646809723459319E-3</c:v>
                </c:pt>
                <c:pt idx="30">
                  <c:v>1.0857558276763881E-2</c:v>
                </c:pt>
                <c:pt idx="31">
                  <c:v>1.1937385814567738E-2</c:v>
                </c:pt>
                <c:pt idx="32">
                  <c:v>1.3137307095434019E-2</c:v>
                </c:pt>
                <c:pt idx="33">
                  <c:v>1.4491378166333682E-2</c:v>
                </c:pt>
                <c:pt idx="34">
                  <c:v>1.6015156415588771E-2</c:v>
                </c:pt>
                <c:pt idx="35">
                  <c:v>1.7704887480780876E-2</c:v>
                </c:pt>
                <c:pt idx="36">
                  <c:v>1.9555697804539564E-2</c:v>
                </c:pt>
                <c:pt idx="37">
                  <c:v>2.161171102090214E-2</c:v>
                </c:pt>
                <c:pt idx="38">
                  <c:v>2.3950330195758446E-2</c:v>
                </c:pt>
                <c:pt idx="39">
                  <c:v>2.6635185857687801E-2</c:v>
                </c:pt>
                <c:pt idx="40">
                  <c:v>2.9702970297029702E-2</c:v>
                </c:pt>
                <c:pt idx="41">
                  <c:v>3.3213154606260037E-2</c:v>
                </c:pt>
                <c:pt idx="42">
                  <c:v>3.7403090443634081E-2</c:v>
                </c:pt>
                <c:pt idx="43">
                  <c:v>4.2692390010526202E-2</c:v>
                </c:pt>
                <c:pt idx="44">
                  <c:v>4.9449810659734882E-2</c:v>
                </c:pt>
                <c:pt idx="45">
                  <c:v>5.7802513373740462E-2</c:v>
                </c:pt>
                <c:pt idx="46">
                  <c:v>6.7830443532348614E-2</c:v>
                </c:pt>
                <c:pt idx="47">
                  <c:v>7.9895822895960866E-2</c:v>
                </c:pt>
                <c:pt idx="48">
                  <c:v>9.4486072203720503E-2</c:v>
                </c:pt>
                <c:pt idx="49">
                  <c:v>0.11200703303719517</c:v>
                </c:pt>
                <c:pt idx="50">
                  <c:v>0.13270205515411271</c:v>
                </c:pt>
                <c:pt idx="51">
                  <c:v>0.15686595807723955</c:v>
                </c:pt>
                <c:pt idx="52">
                  <c:v>0.18503188052711952</c:v>
                </c:pt>
                <c:pt idx="53">
                  <c:v>0.21746760540506083</c:v>
                </c:pt>
                <c:pt idx="54">
                  <c:v>0.25409559074702476</c:v>
                </c:pt>
                <c:pt idx="55">
                  <c:v>0.2949759646062875</c:v>
                </c:pt>
                <c:pt idx="56">
                  <c:v>0.33989993441394173</c:v>
                </c:pt>
                <c:pt idx="57">
                  <c:v>0.38792132828082937</c:v>
                </c:pt>
                <c:pt idx="58">
                  <c:v>0.43775588865207382</c:v>
                </c:pt>
                <c:pt idx="59">
                  <c:v>0.48820706841228018</c:v>
                </c:pt>
                <c:pt idx="60">
                  <c:v>0.53842307051175187</c:v>
                </c:pt>
                <c:pt idx="61">
                  <c:v>0.58711643804460245</c:v>
                </c:pt>
                <c:pt idx="62">
                  <c:v>0.63301138275080437</c:v>
                </c:pt>
                <c:pt idx="63">
                  <c:v>0.67589845859925257</c:v>
                </c:pt>
                <c:pt idx="64">
                  <c:v>0.71534151625583076</c:v>
                </c:pt>
                <c:pt idx="65">
                  <c:v>0.750186428038777</c:v>
                </c:pt>
                <c:pt idx="66">
                  <c:v>0.77962992320077129</c:v>
                </c:pt>
                <c:pt idx="67">
                  <c:v>0.80292567298964013</c:v>
                </c:pt>
                <c:pt idx="68">
                  <c:v>0.81939080045608104</c:v>
                </c:pt>
                <c:pt idx="69">
                  <c:v>0.82942577629655079</c:v>
                </c:pt>
                <c:pt idx="70">
                  <c:v>0.8338030913402279</c:v>
                </c:pt>
                <c:pt idx="71">
                  <c:v>0.83328891889595835</c:v>
                </c:pt>
                <c:pt idx="72">
                  <c:v>0.82917818663109899</c:v>
                </c:pt>
                <c:pt idx="73">
                  <c:v>0.82277039956386899</c:v>
                </c:pt>
                <c:pt idx="74">
                  <c:v>0.81477438259494728</c:v>
                </c:pt>
                <c:pt idx="75">
                  <c:v>0.8058635454256492</c:v>
                </c:pt>
                <c:pt idx="76">
                  <c:v>0.79651854224541219</c:v>
                </c:pt>
                <c:pt idx="77">
                  <c:v>0.78672777282068129</c:v>
                </c:pt>
                <c:pt idx="78">
                  <c:v>0.7763994160506198</c:v>
                </c:pt>
                <c:pt idx="79">
                  <c:v>0.7655950960606106</c:v>
                </c:pt>
                <c:pt idx="80">
                  <c:v>0.75432908990274372</c:v>
                </c:pt>
                <c:pt idx="81">
                  <c:v>0.74261399168137254</c:v>
                </c:pt>
                <c:pt idx="82">
                  <c:v>0.73050660190974714</c:v>
                </c:pt>
                <c:pt idx="83">
                  <c:v>0.71806218641678965</c:v>
                </c:pt>
                <c:pt idx="84">
                  <c:v>0.70531627388828255</c:v>
                </c:pt>
                <c:pt idx="85">
                  <c:v>0.69230776237157421</c:v>
                </c:pt>
                <c:pt idx="86">
                  <c:v>0.67906347999092953</c:v>
                </c:pt>
                <c:pt idx="87">
                  <c:v>0.66562802541714927</c:v>
                </c:pt>
                <c:pt idx="88">
                  <c:v>0.65202820921784399</c:v>
                </c:pt>
                <c:pt idx="89">
                  <c:v>0.63828733653775271</c:v>
                </c:pt>
                <c:pt idx="90">
                  <c:v>0.62445085979666115</c:v>
                </c:pt>
                <c:pt idx="91">
                  <c:v>0.61054180245501632</c:v>
                </c:pt>
                <c:pt idx="92">
                  <c:v>0.59659242196256179</c:v>
                </c:pt>
                <c:pt idx="93">
                  <c:v>0.5826179680569763</c:v>
                </c:pt>
                <c:pt idx="94">
                  <c:v>0.56864889127080398</c:v>
                </c:pt>
                <c:pt idx="95">
                  <c:v>0.5547139028085305</c:v>
                </c:pt>
                <c:pt idx="96">
                  <c:v>0.54083662916440234</c:v>
                </c:pt>
                <c:pt idx="97">
                  <c:v>0.52705056921926163</c:v>
                </c:pt>
                <c:pt idx="98">
                  <c:v>0.51338866096156044</c:v>
                </c:pt>
                <c:pt idx="99">
                  <c:v>0.49988734043830646</c:v>
                </c:pt>
                <c:pt idx="100">
                  <c:v>0.48659078806085698</c:v>
                </c:pt>
                <c:pt idx="101">
                  <c:v>0.47352737397552891</c:v>
                </c:pt>
                <c:pt idx="102">
                  <c:v>0.46072525384084173</c:v>
                </c:pt>
                <c:pt idx="103">
                  <c:v>0.44822450290997451</c:v>
                </c:pt>
                <c:pt idx="104">
                  <c:v>0.43605806173667433</c:v>
                </c:pt>
                <c:pt idx="105">
                  <c:v>0.42423223492490469</c:v>
                </c:pt>
                <c:pt idx="106">
                  <c:v>0.41275842119209594</c:v>
                </c:pt>
                <c:pt idx="107">
                  <c:v>0.40176193497228024</c:v>
                </c:pt>
                <c:pt idx="108">
                  <c:v>0.39140915170770763</c:v>
                </c:pt>
                <c:pt idx="109">
                  <c:v>0.38170575682850383</c:v>
                </c:pt>
                <c:pt idx="110">
                  <c:v>0.37249114521841797</c:v>
                </c:pt>
                <c:pt idx="111">
                  <c:v>0.36366540243326684</c:v>
                </c:pt>
                <c:pt idx="112">
                  <c:v>0.35533136977159269</c:v>
                </c:pt>
                <c:pt idx="113">
                  <c:v>0.34762796068297919</c:v>
                </c:pt>
                <c:pt idx="114">
                  <c:v>0.34055322541223254</c:v>
                </c:pt>
                <c:pt idx="115">
                  <c:v>0.33401065115476053</c:v>
                </c:pt>
                <c:pt idx="116">
                  <c:v>0.32794707429990366</c:v>
                </c:pt>
                <c:pt idx="117">
                  <c:v>0.32236207675739098</c:v>
                </c:pt>
                <c:pt idx="118">
                  <c:v>0.3172487058919336</c:v>
                </c:pt>
                <c:pt idx="119">
                  <c:v>0.31258596399559685</c:v>
                </c:pt>
                <c:pt idx="120">
                  <c:v>0.30834226055665576</c:v>
                </c:pt>
                <c:pt idx="121">
                  <c:v>0.30447855519964845</c:v>
                </c:pt>
                <c:pt idx="122">
                  <c:v>0.30095042506063674</c:v>
                </c:pt>
                <c:pt idx="123">
                  <c:v>0.29772451195755328</c:v>
                </c:pt>
                <c:pt idx="124">
                  <c:v>0.29477029208623856</c:v>
                </c:pt>
                <c:pt idx="125">
                  <c:v>0.29202710893162159</c:v>
                </c:pt>
                <c:pt idx="126">
                  <c:v>0.28945294120316928</c:v>
                </c:pt>
                <c:pt idx="127">
                  <c:v>0.28705732036370962</c:v>
                </c:pt>
                <c:pt idx="128">
                  <c:v>0.28484510625740295</c:v>
                </c:pt>
                <c:pt idx="129">
                  <c:v>0.28280641193093098</c:v>
                </c:pt>
                <c:pt idx="130">
                  <c:v>0.28093495151865405</c:v>
                </c:pt>
                <c:pt idx="131">
                  <c:v>0.27921895982339456</c:v>
                </c:pt>
                <c:pt idx="132">
                  <c:v>0.27766187054303204</c:v>
                </c:pt>
                <c:pt idx="133">
                  <c:v>0.27628183643752147</c:v>
                </c:pt>
                <c:pt idx="134">
                  <c:v>0.27507818405489931</c:v>
                </c:pt>
                <c:pt idx="135">
                  <c:v>0.27400768245838669</c:v>
                </c:pt>
                <c:pt idx="136">
                  <c:v>0.27302502953105906</c:v>
                </c:pt>
                <c:pt idx="137">
                  <c:v>0.27213568920734765</c:v>
                </c:pt>
                <c:pt idx="138">
                  <c:v>0.27134351289965225</c:v>
                </c:pt>
                <c:pt idx="139">
                  <c:v>0.27063904930532778</c:v>
                </c:pt>
                <c:pt idx="140">
                  <c:v>0.27003098716246127</c:v>
                </c:pt>
                <c:pt idx="141">
                  <c:v>0.26952583469773767</c:v>
                </c:pt>
                <c:pt idx="142">
                  <c:v>0.26910374775709855</c:v>
                </c:pt>
                <c:pt idx="143">
                  <c:v>0.26872036408092181</c:v>
                </c:pt>
                <c:pt idx="144">
                  <c:v>0.26835002907798566</c:v>
                </c:pt>
                <c:pt idx="145">
                  <c:v>0.26800670016750416</c:v>
                </c:pt>
                <c:pt idx="146">
                  <c:v>0.26770016891537562</c:v>
                </c:pt>
                <c:pt idx="147">
                  <c:v>0.26741850640983805</c:v>
                </c:pt>
                <c:pt idx="148">
                  <c:v>0.2671413527315219</c:v>
                </c:pt>
                <c:pt idx="149">
                  <c:v>0.26685832886287625</c:v>
                </c:pt>
                <c:pt idx="150">
                  <c:v>0.26658303277403173</c:v>
                </c:pt>
                <c:pt idx="151">
                  <c:v>0.26631670356440401</c:v>
                </c:pt>
                <c:pt idx="152">
                  <c:v>0.26606430968550804</c:v>
                </c:pt>
                <c:pt idx="153">
                  <c:v>0.26585744310334469</c:v>
                </c:pt>
                <c:pt idx="154">
                  <c:v>0.26571355363324045</c:v>
                </c:pt>
                <c:pt idx="155">
                  <c:v>0.2656098350048528</c:v>
                </c:pt>
                <c:pt idx="156">
                  <c:v>0.2655178295889003</c:v>
                </c:pt>
                <c:pt idx="157">
                  <c:v>0.265440481577711</c:v>
                </c:pt>
                <c:pt idx="158">
                  <c:v>0.26537890528710095</c:v>
                </c:pt>
                <c:pt idx="159">
                  <c:v>0.2653266219894328</c:v>
                </c:pt>
                <c:pt idx="160">
                  <c:v>0.26530997674171924</c:v>
                </c:pt>
                <c:pt idx="161">
                  <c:v>0.26530999349864304</c:v>
                </c:pt>
                <c:pt idx="162">
                  <c:v>0.26531000266064003</c:v>
                </c:pt>
                <c:pt idx="163">
                  <c:v>0.26530999822005213</c:v>
                </c:pt>
                <c:pt idx="164">
                  <c:v>0.26531000247545689</c:v>
                </c:pt>
                <c:pt idx="165">
                  <c:v>0.26531001176702557</c:v>
                </c:pt>
                <c:pt idx="166">
                  <c:v>0.26530998320092164</c:v>
                </c:pt>
                <c:pt idx="167">
                  <c:v>0.26531000748453293</c:v>
                </c:pt>
                <c:pt idx="168">
                  <c:v>0.26530998241034764</c:v>
                </c:pt>
                <c:pt idx="169">
                  <c:v>0.26531001662688053</c:v>
                </c:pt>
                <c:pt idx="170">
                  <c:v>0.2653099958518389</c:v>
                </c:pt>
                <c:pt idx="171">
                  <c:v>0.26531006843365523</c:v>
                </c:pt>
                <c:pt idx="172">
                  <c:v>0.26530994490031956</c:v>
                </c:pt>
                <c:pt idx="173">
                  <c:v>0.26531010829117396</c:v>
                </c:pt>
                <c:pt idx="174">
                  <c:v>0.26530996996821571</c:v>
                </c:pt>
                <c:pt idx="175">
                  <c:v>0.26531004795479113</c:v>
                </c:pt>
                <c:pt idx="176">
                  <c:v>0.26531012870152471</c:v>
                </c:pt>
                <c:pt idx="177">
                  <c:v>0.26530971615154236</c:v>
                </c:pt>
                <c:pt idx="178">
                  <c:v>0.26531025535550418</c:v>
                </c:pt>
                <c:pt idx="179">
                  <c:v>0.26531035419243315</c:v>
                </c:pt>
                <c:pt idx="180">
                  <c:v>0.26530988130257355</c:v>
                </c:pt>
                <c:pt idx="181">
                  <c:v>0.26531040994181826</c:v>
                </c:pt>
                <c:pt idx="182">
                  <c:v>0.2653105407060018</c:v>
                </c:pt>
                <c:pt idx="183">
                  <c:v>0.26530971452862018</c:v>
                </c:pt>
                <c:pt idx="184">
                  <c:v>0.26531078128387076</c:v>
                </c:pt>
                <c:pt idx="185">
                  <c:v>0.26531004795479118</c:v>
                </c:pt>
                <c:pt idx="186">
                  <c:v>0.26530928844456764</c:v>
                </c:pt>
                <c:pt idx="187">
                  <c:v>0.26531041370971986</c:v>
                </c:pt>
                <c:pt idx="188">
                  <c:v>0.26531084279192008</c:v>
                </c:pt>
                <c:pt idx="189">
                  <c:v>0.26530950080267329</c:v>
                </c:pt>
                <c:pt idx="190">
                  <c:v>0.26530946137757516</c:v>
                </c:pt>
                <c:pt idx="191">
                  <c:v>0.26531130618548321</c:v>
                </c:pt>
                <c:pt idx="192">
                  <c:v>0.26530802865165587</c:v>
                </c:pt>
                <c:pt idx="193">
                  <c:v>0.26530885972383361</c:v>
                </c:pt>
                <c:pt idx="194">
                  <c:v>0.26531272382800769</c:v>
                </c:pt>
                <c:pt idx="195">
                  <c:v>0.26531063453460096</c:v>
                </c:pt>
                <c:pt idx="196">
                  <c:v>0.26531337945888833</c:v>
                </c:pt>
                <c:pt idx="197">
                  <c:v>0.2653147000105075</c:v>
                </c:pt>
                <c:pt idx="198">
                  <c:v>0.26531543011978698</c:v>
                </c:pt>
                <c:pt idx="199">
                  <c:v>0.26530958177951741</c:v>
                </c:pt>
                <c:pt idx="200">
                  <c:v>0.26531353734868129</c:v>
                </c:pt>
                <c:pt idx="201">
                  <c:v>4.963725981452719E-3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08-468F-A28B-BA177F59A6BF}"/>
            </c:ext>
          </c:extLst>
        </c:ser>
        <c:ser>
          <c:idx val="5"/>
          <c:order val="1"/>
          <c:tx>
            <c:v>Planckain Locus</c:v>
          </c:tx>
          <c:spPr>
            <a:ln w="12700">
              <a:solidFill>
                <a:schemeClr val="bg1"/>
              </a:solidFill>
            </a:ln>
          </c:spPr>
          <c:marker>
            <c:symbol val="plus"/>
            <c:size val="2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References!$B$5:$B$16</c:f>
              <c:numCache>
                <c:formatCode>General</c:formatCode>
                <c:ptCount val="12"/>
                <c:pt idx="0">
                  <c:v>0.43880000000000002</c:v>
                </c:pt>
                <c:pt idx="1">
                  <c:v>0.38269999999999998</c:v>
                </c:pt>
                <c:pt idx="2">
                  <c:v>0.3473</c:v>
                </c:pt>
                <c:pt idx="3">
                  <c:v>0.32419999999999999</c:v>
                </c:pt>
                <c:pt idx="4">
                  <c:v>0.30830000000000002</c:v>
                </c:pt>
                <c:pt idx="5">
                  <c:v>0.29699999999999999</c:v>
                </c:pt>
                <c:pt idx="6">
                  <c:v>0.28870000000000001</c:v>
                </c:pt>
                <c:pt idx="7">
                  <c:v>0.28239999999999998</c:v>
                </c:pt>
                <c:pt idx="8">
                  <c:v>0.27739999999999998</c:v>
                </c:pt>
                <c:pt idx="9">
                  <c:v>0.27339999999999998</c:v>
                </c:pt>
                <c:pt idx="10">
                  <c:v>0.2702</c:v>
                </c:pt>
                <c:pt idx="11">
                  <c:v>0.26750000000000002</c:v>
                </c:pt>
              </c:numCache>
            </c:numRef>
          </c:xVal>
          <c:yVal>
            <c:numRef>
              <c:f>References!$C$5:$C$16</c:f>
              <c:numCache>
                <c:formatCode>General</c:formatCode>
                <c:ptCount val="12"/>
                <c:pt idx="0">
                  <c:v>0.40949999999999998</c:v>
                </c:pt>
                <c:pt idx="1">
                  <c:v>0.38200000000000001</c:v>
                </c:pt>
                <c:pt idx="2">
                  <c:v>0.35610000000000003</c:v>
                </c:pt>
                <c:pt idx="3">
                  <c:v>0.33550000000000002</c:v>
                </c:pt>
                <c:pt idx="4">
                  <c:v>0.31950000000000001</c:v>
                </c:pt>
                <c:pt idx="5">
                  <c:v>0.30709999999999998</c:v>
                </c:pt>
                <c:pt idx="6">
                  <c:v>0.29749999999999999</c:v>
                </c:pt>
                <c:pt idx="7">
                  <c:v>0.2898</c:v>
                </c:pt>
                <c:pt idx="8">
                  <c:v>0.28360000000000002</c:v>
                </c:pt>
                <c:pt idx="9">
                  <c:v>0.27850000000000003</c:v>
                </c:pt>
                <c:pt idx="10">
                  <c:v>0.2742</c:v>
                </c:pt>
                <c:pt idx="11">
                  <c:v>0.2707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08-468F-A28B-BA177F59A6BF}"/>
            </c:ext>
          </c:extLst>
        </c:ser>
        <c:ser>
          <c:idx val="2"/>
          <c:order val="2"/>
          <c:tx>
            <c:v>D65 white point</c:v>
          </c:tx>
          <c:spPr>
            <a:ln w="28575">
              <a:noFill/>
            </a:ln>
          </c:spPr>
          <c:marker>
            <c:symbol val="plus"/>
            <c:size val="9"/>
            <c:spPr>
              <a:noFill/>
              <a:ln w="16510">
                <a:solidFill>
                  <a:schemeClr val="bg1"/>
                </a:solidFill>
              </a:ln>
            </c:spPr>
          </c:marker>
          <c:xVal>
            <c:numRef>
              <c:f>References!$B$23</c:f>
              <c:numCache>
                <c:formatCode>General</c:formatCode>
                <c:ptCount val="1"/>
                <c:pt idx="0">
                  <c:v>0.31269999999999998</c:v>
                </c:pt>
              </c:numCache>
            </c:numRef>
          </c:xVal>
          <c:yVal>
            <c:numRef>
              <c:f>References!$C$23</c:f>
              <c:numCache>
                <c:formatCode>General</c:formatCode>
                <c:ptCount val="1"/>
                <c:pt idx="0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08-468F-A28B-BA177F59A6BF}"/>
            </c:ext>
          </c:extLst>
        </c:ser>
        <c:ser>
          <c:idx val="1"/>
          <c:order val="3"/>
          <c:tx>
            <c:v>2020</c:v>
          </c:tx>
          <c:spPr>
            <a:ln w="12700">
              <a:solidFill>
                <a:schemeClr val="accent2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References!$K$31:$K$34</c:f>
              <c:numCache>
                <c:formatCode>General</c:formatCode>
                <c:ptCount val="4"/>
                <c:pt idx="0">
                  <c:v>0.70799999999999996</c:v>
                </c:pt>
                <c:pt idx="1">
                  <c:v>0.17</c:v>
                </c:pt>
                <c:pt idx="2">
                  <c:v>0.13100000000000001</c:v>
                </c:pt>
                <c:pt idx="3">
                  <c:v>0.70799999999999996</c:v>
                </c:pt>
              </c:numCache>
            </c:numRef>
          </c:xVal>
          <c:yVal>
            <c:numRef>
              <c:f>References!$L$31:$L$34</c:f>
              <c:numCache>
                <c:formatCode>General</c:formatCode>
                <c:ptCount val="4"/>
                <c:pt idx="0">
                  <c:v>0.29199999999999998</c:v>
                </c:pt>
                <c:pt idx="1">
                  <c:v>0.79700000000000004</c:v>
                </c:pt>
                <c:pt idx="2">
                  <c:v>4.5999999999999999E-2</c:v>
                </c:pt>
                <c:pt idx="3">
                  <c:v>0.29199999999999998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08-468F-A28B-BA177F59A6BF}"/>
            </c:ext>
          </c:extLst>
        </c:ser>
        <c:ser>
          <c:idx val="3"/>
          <c:order val="4"/>
          <c:tx>
            <c:strRef>
              <c:f>References!$I$37</c:f>
              <c:strCache>
                <c:ptCount val="1"/>
                <c:pt idx="0">
                  <c:v>NTSC 1953</c:v>
                </c:pt>
              </c:strCache>
            </c:strRef>
          </c:tx>
          <c:spPr>
            <a:ln w="12700">
              <a:solidFill>
                <a:schemeClr val="accent4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References!$K$39:$K$42</c:f>
              <c:numCache>
                <c:formatCode>General</c:formatCode>
                <c:ptCount val="4"/>
                <c:pt idx="0">
                  <c:v>0.67</c:v>
                </c:pt>
                <c:pt idx="1">
                  <c:v>0.21</c:v>
                </c:pt>
                <c:pt idx="2">
                  <c:v>0.14000000000000001</c:v>
                </c:pt>
                <c:pt idx="3">
                  <c:v>0.67</c:v>
                </c:pt>
              </c:numCache>
            </c:numRef>
          </c:xVal>
          <c:yVal>
            <c:numRef>
              <c:f>References!$L$39:$L$42</c:f>
              <c:numCache>
                <c:formatCode>General</c:formatCode>
                <c:ptCount val="4"/>
                <c:pt idx="0">
                  <c:v>0.33</c:v>
                </c:pt>
                <c:pt idx="1">
                  <c:v>0.71</c:v>
                </c:pt>
                <c:pt idx="2">
                  <c:v>0.08</c:v>
                </c:pt>
                <c:pt idx="3">
                  <c:v>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08-468F-A28B-BA177F59A6BF}"/>
            </c:ext>
          </c:extLst>
        </c:ser>
        <c:ser>
          <c:idx val="8"/>
          <c:order val="5"/>
          <c:tx>
            <c:v>P3</c:v>
          </c:tx>
          <c:spPr>
            <a:ln w="63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References!$K$23:$K$26</c:f>
              <c:numCache>
                <c:formatCode>General</c:formatCode>
                <c:ptCount val="4"/>
                <c:pt idx="0">
                  <c:v>0.68</c:v>
                </c:pt>
                <c:pt idx="1">
                  <c:v>0.26500000000000001</c:v>
                </c:pt>
                <c:pt idx="2">
                  <c:v>0.15</c:v>
                </c:pt>
                <c:pt idx="3">
                  <c:v>0.68</c:v>
                </c:pt>
              </c:numCache>
            </c:numRef>
          </c:xVal>
          <c:yVal>
            <c:numRef>
              <c:f>References!$L$23:$L$26</c:f>
              <c:numCache>
                <c:formatCode>General</c:formatCode>
                <c:ptCount val="4"/>
                <c:pt idx="0">
                  <c:v>0.32</c:v>
                </c:pt>
                <c:pt idx="1">
                  <c:v>0.69</c:v>
                </c:pt>
                <c:pt idx="2">
                  <c:v>0.06</c:v>
                </c:pt>
                <c:pt idx="3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08-468F-A28B-BA177F59A6BF}"/>
            </c:ext>
          </c:extLst>
        </c:ser>
        <c:ser>
          <c:idx val="6"/>
          <c:order val="6"/>
          <c:tx>
            <c:v>Rec709-sRGB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References!$K$5:$K$8</c:f>
              <c:numCache>
                <c:formatCode>General</c:formatCode>
                <c:ptCount val="4"/>
                <c:pt idx="0">
                  <c:v>0.64</c:v>
                </c:pt>
                <c:pt idx="1">
                  <c:v>0.3</c:v>
                </c:pt>
                <c:pt idx="2">
                  <c:v>0.15</c:v>
                </c:pt>
                <c:pt idx="3">
                  <c:v>0.64</c:v>
                </c:pt>
              </c:numCache>
            </c:numRef>
          </c:xVal>
          <c:yVal>
            <c:numRef>
              <c:f>References!$L$5:$L$8</c:f>
              <c:numCache>
                <c:formatCode>General</c:formatCode>
                <c:ptCount val="4"/>
                <c:pt idx="0">
                  <c:v>0.33</c:v>
                </c:pt>
                <c:pt idx="1">
                  <c:v>0.6</c:v>
                </c:pt>
                <c:pt idx="2">
                  <c:v>0.06</c:v>
                </c:pt>
                <c:pt idx="3">
                  <c:v>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08-468F-A28B-BA177F59A6BF}"/>
            </c:ext>
          </c:extLst>
        </c:ser>
        <c:ser>
          <c:idx val="0"/>
          <c:order val="7"/>
          <c:tx>
            <c:strRef>
              <c:f>'Measurement data'!$N$14</c:f>
              <c:strCache>
                <c:ptCount val="1"/>
                <c:pt idx="0">
                  <c:v>White point: 6466 K</c:v>
                </c:pt>
              </c:strCache>
            </c:strRef>
          </c:tx>
          <c:spPr>
            <a:ln w="12700"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chemeClr val="bg1"/>
                </a:solidFill>
              </a:ln>
            </c:spPr>
          </c:marker>
          <c:dLbls>
            <c:dLbl>
              <c:idx val="0"/>
              <c:spPr>
                <a:solidFill>
                  <a:schemeClr val="bg1">
                    <a:alpha val="80000"/>
                  </a:schemeClr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95-4791-90AE-9E472060D72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'Measurement data'!$C$9</c:f>
              <c:numCache>
                <c:formatCode>0.0000</c:formatCode>
                <c:ptCount val="1"/>
                <c:pt idx="0">
                  <c:v>0.31220602738691444</c:v>
                </c:pt>
              </c:numCache>
            </c:numRef>
          </c:xVal>
          <c:yVal>
            <c:numRef>
              <c:f>'Measurement data'!$C$10</c:f>
              <c:numCache>
                <c:formatCode>0.0000</c:formatCode>
                <c:ptCount val="1"/>
                <c:pt idx="0">
                  <c:v>0.33665801273453316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08-468F-A28B-BA177F59A6BF}"/>
            </c:ext>
          </c:extLst>
        </c:ser>
        <c:ser>
          <c:idx val="9"/>
          <c:order val="8"/>
          <c:tx>
            <c:strRef>
              <c:f>'Measurement data'!$N$19</c:f>
              <c:strCache>
                <c:ptCount val="1"/>
                <c:pt idx="0">
                  <c:v>This panel: 60.6%,81.2%,84.5%,114.6%</c:v>
                </c:pt>
              </c:strCache>
            </c:strRef>
          </c:tx>
          <c:spPr>
            <a:ln w="19050">
              <a:solidFill>
                <a:srgbClr val="FF0000">
                  <a:alpha val="50000"/>
                </a:srgbClr>
              </a:solidFill>
            </a:ln>
          </c:spPr>
          <c:marker>
            <c:symbol val="circle"/>
            <c:size val="7"/>
            <c:spPr>
              <a:noFill/>
              <a:ln w="15875">
                <a:solidFill>
                  <a:srgbClr val="FF0000"/>
                </a:solidFill>
              </a:ln>
            </c:spPr>
          </c:marker>
          <c:dLbls>
            <c:spPr>
              <a:solidFill>
                <a:schemeClr val="bg1">
                  <a:alpha val="50000"/>
                </a:schemeClr>
              </a:solidFill>
              <a:ln>
                <a:noFill/>
              </a:ln>
            </c:sp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('Measurement data'!$D$9,'Measurement data'!$E$9,'Measurement data'!$F$9,'Measurement data'!$D$9)</c:f>
              <c:numCache>
                <c:formatCode>0.0000</c:formatCode>
                <c:ptCount val="4"/>
                <c:pt idx="0">
                  <c:v>0.65153380687927265</c:v>
                </c:pt>
                <c:pt idx="1">
                  <c:v>0.30114821850129464</c:v>
                </c:pt>
                <c:pt idx="2">
                  <c:v>0.1527344089819925</c:v>
                </c:pt>
                <c:pt idx="3">
                  <c:v>0.65153380687927265</c:v>
                </c:pt>
              </c:numCache>
            </c:numRef>
          </c:xVal>
          <c:yVal>
            <c:numRef>
              <c:f>('Measurement data'!$D$10,'Measurement data'!$E$10,'Measurement data'!$F$10,'Measurement data'!$D$10)</c:f>
              <c:numCache>
                <c:formatCode>0.0000</c:formatCode>
                <c:ptCount val="4"/>
                <c:pt idx="0">
                  <c:v>0.32186302916359733</c:v>
                </c:pt>
                <c:pt idx="1">
                  <c:v>0.65552588061253847</c:v>
                </c:pt>
                <c:pt idx="2">
                  <c:v>6.3717057698546228E-2</c:v>
                </c:pt>
                <c:pt idx="3">
                  <c:v>0.32186302916359733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08-468F-A28B-BA177F59A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30176"/>
        <c:axId val="98136832"/>
      </c:scatterChart>
      <c:valAx>
        <c:axId val="98130176"/>
        <c:scaling>
          <c:orientation val="minMax"/>
          <c:max val="0.8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45607753374876875"/>
              <c:y val="0.96319427419791337"/>
            </c:manualLayout>
          </c:layout>
          <c:overlay val="0"/>
        </c:title>
        <c:numFmt formatCode="#,##0.00" sourceLinked="0"/>
        <c:majorTickMark val="cross"/>
        <c:minorTickMark val="out"/>
        <c:tickLblPos val="nextTo"/>
        <c:spPr>
          <a:ln w="6350"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98136832"/>
        <c:crosses val="autoZero"/>
        <c:crossBetween val="midCat"/>
      </c:valAx>
      <c:valAx>
        <c:axId val="98136832"/>
        <c:scaling>
          <c:orientation val="minMax"/>
          <c:max val="0.8"/>
          <c:min val="0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</a:ln>
          </c:spPr>
        </c:majorGridlines>
        <c:minorGridlines/>
        <c:title>
          <c:tx>
            <c:rich>
              <a:bodyPr rot="0" vert="horz"/>
              <a:lstStyle/>
              <a:p>
                <a:pPr>
                  <a:defRPr lang="ja-JP"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1.2561690405058702E-2"/>
              <c:y val="0.51905061336508673"/>
            </c:manualLayout>
          </c:layout>
          <c:overlay val="0"/>
        </c:title>
        <c:numFmt formatCode="0.00" sourceLinked="0"/>
        <c:majorTickMark val="cross"/>
        <c:minorTickMark val="out"/>
        <c:tickLblPos val="nextTo"/>
        <c:spPr>
          <a:ln w="6350"/>
        </c:spPr>
        <c:txPr>
          <a:bodyPr/>
          <a:lstStyle/>
          <a:p>
            <a:pPr>
              <a:defRPr lang="ja-JP"/>
            </a:pPr>
            <a:endParaRPr lang="en-US"/>
          </a:p>
        </c:txPr>
        <c:crossAx val="98130176"/>
        <c:crosses val="autoZero"/>
        <c:crossBetween val="midCat"/>
      </c:valAx>
      <c:spPr>
        <a:solidFill>
          <a:schemeClr val="bg1">
            <a:lumMod val="65000"/>
          </a:schemeClr>
        </a:solidFill>
        <a:ln>
          <a:solidFill>
            <a:schemeClr val="bg1"/>
          </a:solidFill>
        </a:ln>
      </c:spPr>
    </c:plotArea>
    <c:legend>
      <c:legendPos val="r"/>
      <c:layout>
        <c:manualLayout>
          <c:xMode val="edge"/>
          <c:yMode val="edge"/>
          <c:x val="0.52677540559494018"/>
          <c:y val="2.5133605031068696E-2"/>
          <c:w val="0.42512193953630267"/>
          <c:h val="0.23907572705658536"/>
        </c:manualLayout>
      </c:layout>
      <c:overlay val="0"/>
      <c:spPr>
        <a:solidFill>
          <a:schemeClr val="bg1">
            <a:lumMod val="6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c:spPr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'Measurement data'!$B$2:$M$2</c:f>
          <c:strCache>
            <c:ptCount val="12"/>
            <c:pt idx="0">
              <c:v>Sample</c:v>
            </c:pt>
          </c:strCache>
        </c:strRef>
      </c:tx>
      <c:overlay val="0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85158881070143E-2"/>
          <c:y val="1.8576924459784993E-2"/>
          <c:w val="0.91081679643053104"/>
          <c:h val="0.9203830343124918"/>
        </c:manualLayout>
      </c:layout>
      <c:scatterChart>
        <c:scatterStyle val="lineMarker"/>
        <c:varyColors val="0"/>
        <c:ser>
          <c:idx val="0"/>
          <c:order val="0"/>
          <c:tx>
            <c:v>CCT</c:v>
          </c:tx>
          <c:spPr>
            <a:ln w="38100">
              <a:gradFill flip="none" rotWithShape="1">
                <a:gsLst>
                  <a:gs pos="0">
                    <a:schemeClr val="tx1"/>
                  </a:gs>
                  <a:gs pos="100000">
                    <a:schemeClr val="bg1"/>
                  </a:gs>
                </a:gsLst>
                <a:lin ang="0" scaled="1"/>
                <a:tileRect/>
              </a:gradFill>
            </a:ln>
          </c:spPr>
          <c:marker>
            <c:symbol val="plus"/>
            <c:size val="10"/>
            <c:spPr>
              <a:ln w="12700">
                <a:solidFill>
                  <a:schemeClr val="tx1"/>
                </a:solidFill>
              </a:ln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'Measurement data'!$C$3:$M$3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'Measurement data'!$C$14:$M$14</c:f>
              <c:numCache>
                <c:formatCode>0.0</c:formatCode>
                <c:ptCount val="11"/>
                <c:pt idx="0">
                  <c:v>18162.560127737772</c:v>
                </c:pt>
                <c:pt idx="1">
                  <c:v>7134.1084855519111</c:v>
                </c:pt>
                <c:pt idx="2">
                  <c:v>6810.2944104844692</c:v>
                </c:pt>
                <c:pt idx="3">
                  <c:v>6768.2346304126822</c:v>
                </c:pt>
                <c:pt idx="4">
                  <c:v>6734.1245011127012</c:v>
                </c:pt>
                <c:pt idx="5">
                  <c:v>6713.2147166858649</c:v>
                </c:pt>
                <c:pt idx="6">
                  <c:v>6691.9220586660467</c:v>
                </c:pt>
                <c:pt idx="7">
                  <c:v>6659.5291423563995</c:v>
                </c:pt>
                <c:pt idx="8">
                  <c:v>6607.1664469017533</c:v>
                </c:pt>
                <c:pt idx="9">
                  <c:v>6535.3845322837906</c:v>
                </c:pt>
                <c:pt idx="10">
                  <c:v>6465.975891552127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3-490B-BD04-585E63280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3392"/>
        <c:axId val="98044928"/>
      </c:scatterChart>
      <c:valAx>
        <c:axId val="98043392"/>
        <c:scaling>
          <c:orientation val="minMax"/>
          <c:max val="10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8044928"/>
        <c:crosses val="autoZero"/>
        <c:crossBetween val="midCat"/>
        <c:majorUnit val="10"/>
        <c:minorUnit val="1"/>
      </c:valAx>
      <c:valAx>
        <c:axId val="98044928"/>
        <c:scaling>
          <c:orientation val="minMax"/>
          <c:max val="12000"/>
          <c:min val="4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8043392"/>
        <c:crosses val="autoZero"/>
        <c:crossBetween val="midCat"/>
        <c:majorUnit val="1000"/>
        <c:minorUnit val="500"/>
      </c:valAx>
      <c:spPr>
        <a:solidFill>
          <a:schemeClr val="bg1">
            <a:lumMod val="85000"/>
          </a:schemeClr>
        </a:solidFill>
      </c:spPr>
    </c:plotArea>
    <c:legend>
      <c:legendPos val="r"/>
      <c:layout>
        <c:manualLayout>
          <c:xMode val="edge"/>
          <c:yMode val="edge"/>
          <c:x val="0.4215915416308591"/>
          <c:y val="0.12388451443569552"/>
          <c:w val="0.16056495503003598"/>
          <c:h val="6.417934059612411E-2"/>
        </c:manualLayout>
      </c:layout>
      <c:overlay val="0"/>
      <c:spPr>
        <a:solidFill>
          <a:schemeClr val="bg1">
            <a:lumMod val="75000"/>
          </a:schemeClr>
        </a:solidFill>
      </c:spPr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'Measurement data'!$B$2:$M$2</c:f>
          <c:strCache>
            <c:ptCount val="12"/>
            <c:pt idx="0">
              <c:v>Sample</c:v>
            </c:pt>
          </c:strCache>
        </c:strRef>
      </c:tx>
      <c:layout>
        <c:manualLayout>
          <c:xMode val="edge"/>
          <c:yMode val="edge"/>
          <c:x val="0.42832317682727322"/>
          <c:y val="5.7142846429912554E-2"/>
        </c:manualLayout>
      </c:layout>
      <c:overlay val="1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2858002051226E-2"/>
          <c:y val="2.9430138330124242E-2"/>
          <c:w val="0.91743716969502198"/>
          <c:h val="0.90416388806269987"/>
        </c:manualLayout>
      </c:layout>
      <c:scatterChart>
        <c:scatterStyle val="lineMarker"/>
        <c:varyColors val="0"/>
        <c:ser>
          <c:idx val="0"/>
          <c:order val="0"/>
          <c:tx>
            <c:v>Measurement</c:v>
          </c:tx>
          <c:spPr>
            <a:ln w="38100">
              <a:gradFill flip="none" rotWithShape="1">
                <a:gsLst>
                  <a:gs pos="0">
                    <a:schemeClr val="tx1"/>
                  </a:gs>
                  <a:gs pos="100000">
                    <a:schemeClr val="bg1"/>
                  </a:gs>
                </a:gsLst>
                <a:lin ang="0" scaled="1"/>
                <a:tileRect/>
              </a:gradFill>
            </a:ln>
          </c:spPr>
          <c:marker>
            <c:symbol val="none"/>
          </c:marker>
          <c:xVal>
            <c:numRef>
              <c:f>'Measurement data'!$C$3:$M$3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'Measurement data'!$C$6:$M$6</c:f>
              <c:numCache>
                <c:formatCode>0.00</c:formatCode>
                <c:ptCount val="11"/>
                <c:pt idx="0">
                  <c:v>7.5570999999999999E-2</c:v>
                </c:pt>
                <c:pt idx="1">
                  <c:v>0.75800299999999998</c:v>
                </c:pt>
                <c:pt idx="2">
                  <c:v>3.2782610000000001</c:v>
                </c:pt>
                <c:pt idx="3">
                  <c:v>7.6822980000000003</c:v>
                </c:pt>
                <c:pt idx="4">
                  <c:v>13.756703999999999</c:v>
                </c:pt>
                <c:pt idx="5">
                  <c:v>23.279671</c:v>
                </c:pt>
                <c:pt idx="6">
                  <c:v>36.223925000000001</c:v>
                </c:pt>
                <c:pt idx="7">
                  <c:v>52.682443999999997</c:v>
                </c:pt>
                <c:pt idx="8">
                  <c:v>71.781187000000003</c:v>
                </c:pt>
                <c:pt idx="9">
                  <c:v>95.838181000000006</c:v>
                </c:pt>
                <c:pt idx="10">
                  <c:v>120.105847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F-4405-8DCC-C376A630CF0B}"/>
            </c:ext>
          </c:extLst>
        </c:ser>
        <c:ser>
          <c:idx val="1"/>
          <c:order val="1"/>
          <c:tx>
            <c:strRef>
              <c:f>'Measurement data'!$N$15</c:f>
              <c:strCache>
                <c:ptCount val="1"/>
                <c:pt idx="0">
                  <c:v>Reference gamma = 2.29</c:v>
                </c:pt>
              </c:strCache>
            </c:strRef>
          </c:tx>
          <c:spPr>
            <a:ln w="12700">
              <a:solidFill>
                <a:srgbClr val="FF0000">
                  <a:alpha val="50000"/>
                </a:srgbClr>
              </a:solidFill>
              <a:prstDash val="dash"/>
            </a:ln>
          </c:spPr>
          <c:marker>
            <c:symbol val="none"/>
          </c:marker>
          <c:xVal>
            <c:numRef>
              <c:f>'Measurement data'!$C$3:$M$3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'Measurement data'!$C$15:$M$15</c:f>
              <c:numCache>
                <c:formatCode>0.00</c:formatCode>
                <c:ptCount val="11"/>
                <c:pt idx="0">
                  <c:v>7.5570999999999999E-2</c:v>
                </c:pt>
                <c:pt idx="1">
                  <c:v>0.68585569199064422</c:v>
                </c:pt>
                <c:pt idx="2">
                  <c:v>3.0679909131740901</c:v>
                </c:pt>
                <c:pt idx="3">
                  <c:v>7.6601822885571265</c:v>
                </c:pt>
                <c:pt idx="4">
                  <c:v>14.74835741309604</c:v>
                </c:pt>
                <c:pt idx="5">
                  <c:v>24.554969661838275</c:v>
                </c:pt>
                <c:pt idx="6">
                  <c:v>37.265332026991778</c:v>
                </c:pt>
                <c:pt idx="7">
                  <c:v>53.039859673595565</c:v>
                </c:pt>
                <c:pt idx="8">
                  <c:v>72.020908676882001</c:v>
                </c:pt>
                <c:pt idx="9">
                  <c:v>94.337034794654926</c:v>
                </c:pt>
                <c:pt idx="10">
                  <c:v>120.105847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FF-4405-8DCC-C376A630C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70528"/>
        <c:axId val="98072064"/>
      </c:scatterChart>
      <c:valAx>
        <c:axId val="98070528"/>
        <c:scaling>
          <c:orientation val="minMax"/>
          <c:max val="10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8072064"/>
        <c:crosses val="autoZero"/>
        <c:crossBetween val="midCat"/>
        <c:majorUnit val="10"/>
      </c:valAx>
      <c:valAx>
        <c:axId val="98072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lang="ja-JP"/>
                </a:pPr>
                <a:r>
                  <a:rPr lang="en-US"/>
                  <a:t>nits</a:t>
                </a:r>
              </a:p>
            </c:rich>
          </c:tx>
          <c:layout>
            <c:manualLayout>
              <c:xMode val="edge"/>
              <c:yMode val="edge"/>
              <c:x val="8.9726422557885807E-3"/>
              <c:y val="0.4729344718662302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8070528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legend>
      <c:legendPos val="r"/>
      <c:layout>
        <c:manualLayout>
          <c:xMode val="edge"/>
          <c:yMode val="edge"/>
          <c:x val="0.11425553220629062"/>
          <c:y val="0.2060378316389517"/>
          <c:w val="0.29272314549382283"/>
          <c:h val="8.3728143283062745E-2"/>
        </c:manualLayout>
      </c:layout>
      <c:overlay val="0"/>
      <c:spPr>
        <a:solidFill>
          <a:schemeClr val="bg1">
            <a:lumMod val="65000"/>
          </a:schemeClr>
        </a:solidFill>
      </c:spPr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'Measurement data'!$B$2:$M$2</c:f>
          <c:strCache>
            <c:ptCount val="12"/>
            <c:pt idx="0">
              <c:v>Sample</c:v>
            </c:pt>
          </c:strCache>
        </c:strRef>
      </c:tx>
      <c:layout>
        <c:manualLayout>
          <c:xMode val="edge"/>
          <c:yMode val="edge"/>
          <c:x val="8.3822224244401625E-2"/>
          <c:y val="0.87541031624995624"/>
        </c:manualLayout>
      </c:layout>
      <c:overlay val="1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42039910406001E-2"/>
          <c:y val="9.6366359447864897E-3"/>
          <c:w val="0.92226101688553286"/>
          <c:h val="0.957684626901667"/>
        </c:manualLayout>
      </c:layout>
      <c:scatterChart>
        <c:scatterStyle val="lineMarker"/>
        <c:varyColors val="0"/>
        <c:ser>
          <c:idx val="4"/>
          <c:order val="0"/>
          <c:tx>
            <c:v>Specrum Locus</c:v>
          </c:tx>
          <c:spPr>
            <a:ln w="6350">
              <a:solidFill>
                <a:schemeClr val="bg1">
                  <a:lumMod val="5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Reference1976!$E$3:$E$204</c:f>
              <c:numCache>
                <c:formatCode>0.0000</c:formatCode>
                <c:ptCount val="202"/>
                <c:pt idx="0">
                  <c:v>0.2568651940761591</c:v>
                </c:pt>
                <c:pt idx="1">
                  <c:v>0.25678911891273243</c:v>
                </c:pt>
                <c:pt idx="2">
                  <c:v>0.25671352719901314</c:v>
                </c:pt>
                <c:pt idx="3">
                  <c:v>0.2566312595455052</c:v>
                </c:pt>
                <c:pt idx="4">
                  <c:v>0.25653646675843578</c:v>
                </c:pt>
                <c:pt idx="5">
                  <c:v>0.25640161811598594</c:v>
                </c:pt>
                <c:pt idx="6">
                  <c:v>0.2562182232777015</c:v>
                </c:pt>
                <c:pt idx="7">
                  <c:v>0.25604977603297752</c:v>
                </c:pt>
                <c:pt idx="8">
                  <c:v>0.25594776817414189</c:v>
                </c:pt>
                <c:pt idx="9">
                  <c:v>0.25586368751552002</c:v>
                </c:pt>
                <c:pt idx="10">
                  <c:v>0.25576404078230014</c:v>
                </c:pt>
                <c:pt idx="11">
                  <c:v>0.25561958842232629</c:v>
                </c:pt>
                <c:pt idx="12">
                  <c:v>0.25539726569773297</c:v>
                </c:pt>
                <c:pt idx="13">
                  <c:v>0.25511181540270333</c:v>
                </c:pt>
                <c:pt idx="14">
                  <c:v>0.25478742766476403</c:v>
                </c:pt>
                <c:pt idx="15">
                  <c:v>0.25449653437838154</c:v>
                </c:pt>
                <c:pt idx="16">
                  <c:v>0.25419935790668635</c:v>
                </c:pt>
                <c:pt idx="17">
                  <c:v>0.2538405651238726</c:v>
                </c:pt>
                <c:pt idx="18">
                  <c:v>0.25344692652162237</c:v>
                </c:pt>
                <c:pt idx="19">
                  <c:v>0.25295216699332895</c:v>
                </c:pt>
                <c:pt idx="20">
                  <c:v>0.25221708161675693</c:v>
                </c:pt>
                <c:pt idx="21">
                  <c:v>0.25127289971831335</c:v>
                </c:pt>
                <c:pt idx="22">
                  <c:v>0.25020909443308037</c:v>
                </c:pt>
                <c:pt idx="23">
                  <c:v>0.24901303825009702</c:v>
                </c:pt>
                <c:pt idx="24">
                  <c:v>0.24765378179826195</c:v>
                </c:pt>
                <c:pt idx="25">
                  <c:v>0.24608316900340219</c:v>
                </c:pt>
                <c:pt idx="26">
                  <c:v>0.24425682445900082</c:v>
                </c:pt>
                <c:pt idx="27">
                  <c:v>0.24220222995088764</c:v>
                </c:pt>
                <c:pt idx="28">
                  <c:v>0.23995029061699519</c:v>
                </c:pt>
                <c:pt idx="29">
                  <c:v>0.23747252728999693</c:v>
                </c:pt>
                <c:pt idx="30">
                  <c:v>0.23475092931791602</c:v>
                </c:pt>
                <c:pt idx="31">
                  <c:v>0.23176402308926927</c:v>
                </c:pt>
                <c:pt idx="32">
                  <c:v>0.22844684561283687</c:v>
                </c:pt>
                <c:pt idx="33">
                  <c:v>0.224737486713882</c:v>
                </c:pt>
                <c:pt idx="34">
                  <c:v>0.22062072282020898</c:v>
                </c:pt>
                <c:pt idx="35">
                  <c:v>0.21611892326235432</c:v>
                </c:pt>
                <c:pt idx="36">
                  <c:v>0.21127098865918534</c:v>
                </c:pt>
                <c:pt idx="37">
                  <c:v>0.20605655706754342</c:v>
                </c:pt>
                <c:pt idx="38">
                  <c:v>0.20038744431796091</c:v>
                </c:pt>
                <c:pt idx="39">
                  <c:v>0.19423608741188794</c:v>
                </c:pt>
                <c:pt idx="40">
                  <c:v>0.18766133195663395</c:v>
                </c:pt>
                <c:pt idx="41">
                  <c:v>0.18068290931769354</c:v>
                </c:pt>
                <c:pt idx="42">
                  <c:v>0.17310525037580765</c:v>
                </c:pt>
                <c:pt idx="43">
                  <c:v>0.16455767099934054</c:v>
                </c:pt>
                <c:pt idx="44">
                  <c:v>0.15481503270333172</c:v>
                </c:pt>
                <c:pt idx="45">
                  <c:v>0.14409789451556157</c:v>
                </c:pt>
                <c:pt idx="46">
                  <c:v>0.13275458489342951</c:v>
                </c:pt>
                <c:pt idx="47">
                  <c:v>0.12083587524156683</c:v>
                </c:pt>
                <c:pt idx="48">
                  <c:v>0.10839305996611473</c:v>
                </c:pt>
                <c:pt idx="49">
                  <c:v>9.5640794832493298E-2</c:v>
                </c:pt>
                <c:pt idx="50">
                  <c:v>8.2808958848778841E-2</c:v>
                </c:pt>
                <c:pt idx="51">
                  <c:v>7.011148279739636E-2</c:v>
                </c:pt>
                <c:pt idx="52">
                  <c:v>5.7898605250211753E-2</c:v>
                </c:pt>
                <c:pt idx="53">
                  <c:v>4.6696387401869571E-2</c:v>
                </c:pt>
                <c:pt idx="54">
                  <c:v>3.6813625799392687E-2</c:v>
                </c:pt>
                <c:pt idx="55">
                  <c:v>2.8153962861571947E-2</c:v>
                </c:pt>
                <c:pt idx="56">
                  <c:v>2.0664000164152152E-2</c:v>
                </c:pt>
                <c:pt idx="57">
                  <c:v>1.4470497965380122E-2</c:v>
                </c:pt>
                <c:pt idx="58">
                  <c:v>9.5960304981743717E-3</c:v>
                </c:pt>
                <c:pt idx="59">
                  <c:v>5.9704999641383627E-3</c:v>
                </c:pt>
                <c:pt idx="60">
                  <c:v>3.4592915512098692E-3</c:v>
                </c:pt>
                <c:pt idx="61">
                  <c:v>1.9432450287873507E-3</c:v>
                </c:pt>
                <c:pt idx="62">
                  <c:v>1.3736636095060186E-3</c:v>
                </c:pt>
                <c:pt idx="63">
                  <c:v>1.6739061875288915E-3</c:v>
                </c:pt>
                <c:pt idx="64">
                  <c:v>2.7622102327856724E-3</c:v>
                </c:pt>
                <c:pt idx="65">
                  <c:v>4.6332623397974818E-3</c:v>
                </c:pt>
                <c:pt idx="66">
                  <c:v>7.2273829941807127E-3</c:v>
                </c:pt>
                <c:pt idx="67">
                  <c:v>1.0444470423461765E-2</c:v>
                </c:pt>
                <c:pt idx="68">
                  <c:v>1.4229434994429824E-2</c:v>
                </c:pt>
                <c:pt idx="69">
                  <c:v>1.8489454623386671E-2</c:v>
                </c:pt>
                <c:pt idx="70">
                  <c:v>2.3116508801910785E-2</c:v>
                </c:pt>
                <c:pt idx="71">
                  <c:v>2.8063856911267261E-2</c:v>
                </c:pt>
                <c:pt idx="72">
                  <c:v>3.3292607348828787E-2</c:v>
                </c:pt>
                <c:pt idx="73">
                  <c:v>3.8752625264385783E-2</c:v>
                </c:pt>
                <c:pt idx="74">
                  <c:v>4.4385149820460948E-2</c:v>
                </c:pt>
                <c:pt idx="75">
                  <c:v>5.0068144105497064E-2</c:v>
                </c:pt>
                <c:pt idx="76">
                  <c:v>5.5734393560189915E-2</c:v>
                </c:pt>
                <c:pt idx="77">
                  <c:v>6.1438773277736169E-2</c:v>
                </c:pt>
                <c:pt idx="78">
                  <c:v>6.7239291629373976E-2</c:v>
                </c:pt>
                <c:pt idx="79">
                  <c:v>7.3157454899652891E-2</c:v>
                </c:pt>
                <c:pt idx="80">
                  <c:v>7.9228990607927E-2</c:v>
                </c:pt>
                <c:pt idx="81">
                  <c:v>8.5487300962315535E-2</c:v>
                </c:pt>
                <c:pt idx="82">
                  <c:v>9.1947462253210224E-2</c:v>
                </c:pt>
                <c:pt idx="83">
                  <c:v>9.8622263413384523E-2</c:v>
                </c:pt>
                <c:pt idx="84">
                  <c:v>0.10553287032567167</c:v>
                </c:pt>
                <c:pt idx="85">
                  <c:v>0.11270183812060833</c:v>
                </c:pt>
                <c:pt idx="86">
                  <c:v>0.12015457180161467</c:v>
                </c:pt>
                <c:pt idx="87">
                  <c:v>0.12790246192123697</c:v>
                </c:pt>
                <c:pt idx="88">
                  <c:v>0.13596550140093422</c:v>
                </c:pt>
                <c:pt idx="89">
                  <c:v>0.14436538286974065</c:v>
                </c:pt>
                <c:pt idx="90">
                  <c:v>0.1531111568970846</c:v>
                </c:pt>
                <c:pt idx="91">
                  <c:v>0.16222335573415078</c:v>
                </c:pt>
                <c:pt idx="92">
                  <c:v>0.17171100803883632</c:v>
                </c:pt>
                <c:pt idx="93">
                  <c:v>0.18159274829143937</c:v>
                </c:pt>
                <c:pt idx="94">
                  <c:v>0.19187762938687258</c:v>
                </c:pt>
                <c:pt idx="95">
                  <c:v>0.20257303101990912</c:v>
                </c:pt>
                <c:pt idx="96">
                  <c:v>0.21368924548738835</c:v>
                </c:pt>
                <c:pt idx="97">
                  <c:v>0.22522824447893602</c:v>
                </c:pt>
                <c:pt idx="98">
                  <c:v>0.23718913241358666</c:v>
                </c:pt>
                <c:pt idx="99">
                  <c:v>0.24956451714906086</c:v>
                </c:pt>
                <c:pt idx="100">
                  <c:v>0.26233873126692198</c:v>
                </c:pt>
                <c:pt idx="101">
                  <c:v>0.27550344995017523</c:v>
                </c:pt>
                <c:pt idx="102">
                  <c:v>0.2890385604198451</c:v>
                </c:pt>
                <c:pt idx="103">
                  <c:v>0.30290445094528529</c:v>
                </c:pt>
                <c:pt idx="104">
                  <c:v>0.31705982510998987</c:v>
                </c:pt>
                <c:pt idx="105">
                  <c:v>0.33147618816917784</c:v>
                </c:pt>
                <c:pt idx="106">
                  <c:v>0.34611648013558105</c:v>
                </c:pt>
                <c:pt idx="107">
                  <c:v>0.36080517739757789</c:v>
                </c:pt>
                <c:pt idx="108">
                  <c:v>0.3752816911552897</c:v>
                </c:pt>
                <c:pt idx="109">
                  <c:v>0.38946403766393634</c:v>
                </c:pt>
                <c:pt idx="110">
                  <c:v>0.40351010484728761</c:v>
                </c:pt>
                <c:pt idx="111">
                  <c:v>0.41751837788200552</c:v>
                </c:pt>
                <c:pt idx="112">
                  <c:v>0.43128136721739213</c:v>
                </c:pt>
                <c:pt idx="113">
                  <c:v>0.4445031532352548</c:v>
                </c:pt>
                <c:pt idx="114">
                  <c:v>0.45709508817283351</c:v>
                </c:pt>
                <c:pt idx="115">
                  <c:v>0.46912835054078894</c:v>
                </c:pt>
                <c:pt idx="116">
                  <c:v>0.48061589022721868</c:v>
                </c:pt>
                <c:pt idx="117">
                  <c:v>0.49149748110938246</c:v>
                </c:pt>
                <c:pt idx="118">
                  <c:v>0.50173023593907229</c:v>
                </c:pt>
                <c:pt idx="119">
                  <c:v>0.51129659489806834</c:v>
                </c:pt>
                <c:pt idx="120">
                  <c:v>0.52021145324080376</c:v>
                </c:pt>
                <c:pt idx="121">
                  <c:v>0.52851469624056457</c:v>
                </c:pt>
                <c:pt idx="122">
                  <c:v>0.53625517906186448</c:v>
                </c:pt>
                <c:pt idx="123">
                  <c:v>0.54346022529850069</c:v>
                </c:pt>
                <c:pt idx="124">
                  <c:v>0.55016513326816863</c:v>
                </c:pt>
                <c:pt idx="125">
                  <c:v>0.55648558218102673</c:v>
                </c:pt>
                <c:pt idx="126">
                  <c:v>0.56250141885409433</c:v>
                </c:pt>
                <c:pt idx="127">
                  <c:v>0.56817494471720653</c:v>
                </c:pt>
                <c:pt idx="128">
                  <c:v>0.57348064412184019</c:v>
                </c:pt>
                <c:pt idx="129">
                  <c:v>0.57842838973326238</c:v>
                </c:pt>
                <c:pt idx="130">
                  <c:v>0.58302093095907537</c:v>
                </c:pt>
                <c:pt idx="131">
                  <c:v>0.58727625125826444</c:v>
                </c:pt>
                <c:pt idx="132">
                  <c:v>0.59117553796385303</c:v>
                </c:pt>
                <c:pt idx="133">
                  <c:v>0.59466323487545159</c:v>
                </c:pt>
                <c:pt idx="134">
                  <c:v>0.59773082452004966</c:v>
                </c:pt>
                <c:pt idx="135">
                  <c:v>0.60047656870532173</c:v>
                </c:pt>
                <c:pt idx="136">
                  <c:v>0.60300468289788745</c:v>
                </c:pt>
                <c:pt idx="137">
                  <c:v>0.60530519463845989</c:v>
                </c:pt>
                <c:pt idx="138">
                  <c:v>0.6073644186952083</c:v>
                </c:pt>
                <c:pt idx="139">
                  <c:v>0.60920364987637998</c:v>
                </c:pt>
                <c:pt idx="140">
                  <c:v>0.61079729604593014</c:v>
                </c:pt>
                <c:pt idx="141">
                  <c:v>0.61212555292439275</c:v>
                </c:pt>
                <c:pt idx="142">
                  <c:v>0.61323841784006705</c:v>
                </c:pt>
                <c:pt idx="143">
                  <c:v>0.61425163221829671</c:v>
                </c:pt>
                <c:pt idx="144">
                  <c:v>0.61523253237022824</c:v>
                </c:pt>
                <c:pt idx="145">
                  <c:v>0.61614381388790984</c:v>
                </c:pt>
                <c:pt idx="146">
                  <c:v>0.61695898423364026</c:v>
                </c:pt>
                <c:pt idx="147">
                  <c:v>0.61770932039270443</c:v>
                </c:pt>
                <c:pt idx="148">
                  <c:v>0.61844886385963016</c:v>
                </c:pt>
                <c:pt idx="149">
                  <c:v>0.61920532162450004</c:v>
                </c:pt>
                <c:pt idx="150">
                  <c:v>0.6199423401928621</c:v>
                </c:pt>
                <c:pt idx="151">
                  <c:v>0.62065649618920271</c:v>
                </c:pt>
                <c:pt idx="152">
                  <c:v>0.6213343251158675</c:v>
                </c:pt>
                <c:pt idx="153">
                  <c:v>0.62189064241896952</c:v>
                </c:pt>
                <c:pt idx="154">
                  <c:v>0.62227800069450157</c:v>
                </c:pt>
                <c:pt idx="155">
                  <c:v>0.62255742200891329</c:v>
                </c:pt>
                <c:pt idx="156">
                  <c:v>0.62280543153213297</c:v>
                </c:pt>
                <c:pt idx="157">
                  <c:v>0.62301403541731681</c:v>
                </c:pt>
                <c:pt idx="158">
                  <c:v>0.62318017222560018</c:v>
                </c:pt>
                <c:pt idx="159">
                  <c:v>0.62332128363359707</c:v>
                </c:pt>
                <c:pt idx="160">
                  <c:v>0.62336621796711622</c:v>
                </c:pt>
                <c:pt idx="161">
                  <c:v>0.62336617272907602</c:v>
                </c:pt>
                <c:pt idx="162">
                  <c:v>0.62336614799477741</c:v>
                </c:pt>
                <c:pt idx="163">
                  <c:v>0.62336615998286538</c:v>
                </c:pt>
                <c:pt idx="164">
                  <c:v>0.62336614849470928</c:v>
                </c:pt>
                <c:pt idx="165">
                  <c:v>0.62336612341061226</c:v>
                </c:pt>
                <c:pt idx="166">
                  <c:v>0.62336620052944847</c:v>
                </c:pt>
                <c:pt idx="167">
                  <c:v>0.62336613497189575</c:v>
                </c:pt>
                <c:pt idx="168">
                  <c:v>0.62336620266373155</c:v>
                </c:pt>
                <c:pt idx="169">
                  <c:v>0.62336611029064593</c:v>
                </c:pt>
                <c:pt idx="170">
                  <c:v>0.62336616637624132</c:v>
                </c:pt>
                <c:pt idx="171">
                  <c:v>0.62336597042988251</c:v>
                </c:pt>
                <c:pt idx="172">
                  <c:v>0.62336630392816383</c:v>
                </c:pt>
                <c:pt idx="173">
                  <c:v>0.62336586282809647</c:v>
                </c:pt>
                <c:pt idx="174">
                  <c:v>0.62336623625329146</c:v>
                </c:pt>
                <c:pt idx="175">
                  <c:v>0.62336602571588162</c:v>
                </c:pt>
                <c:pt idx="176">
                  <c:v>0.62336580772707995</c:v>
                </c:pt>
                <c:pt idx="177">
                  <c:v>0.62336692147324535</c:v>
                </c:pt>
                <c:pt idx="178">
                  <c:v>0.62336546580449093</c:v>
                </c:pt>
                <c:pt idx="179">
                  <c:v>0.62336519897863862</c:v>
                </c:pt>
                <c:pt idx="180">
                  <c:v>0.62336647562069247</c:v>
                </c:pt>
                <c:pt idx="181">
                  <c:v>0.62336504847446461</c:v>
                </c:pt>
                <c:pt idx="182">
                  <c:v>0.62336469545631912</c:v>
                </c:pt>
                <c:pt idx="183">
                  <c:v>0.62336692585459463</c:v>
                </c:pt>
                <c:pt idx="184">
                  <c:v>0.62336404597985529</c:v>
                </c:pt>
                <c:pt idx="185">
                  <c:v>0.62336602571588151</c:v>
                </c:pt>
                <c:pt idx="186">
                  <c:v>0.62336807614107215</c:v>
                </c:pt>
                <c:pt idx="187">
                  <c:v>0.62336503830242729</c:v>
                </c:pt>
                <c:pt idx="188">
                  <c:v>0.62336387992969156</c:v>
                </c:pt>
                <c:pt idx="189">
                  <c:v>0.6233675028438298</c:v>
                </c:pt>
                <c:pt idx="190">
                  <c:v>0.62336760927861057</c:v>
                </c:pt>
                <c:pt idx="191">
                  <c:v>0.6233626289315225</c:v>
                </c:pt>
                <c:pt idx="192">
                  <c:v>0.62337147718365382</c:v>
                </c:pt>
                <c:pt idx="193">
                  <c:v>0.6233692335486587</c:v>
                </c:pt>
                <c:pt idx="194">
                  <c:v>0.62335880182118464</c:v>
                </c:pt>
                <c:pt idx="195">
                  <c:v>0.6233644421516672</c:v>
                </c:pt>
                <c:pt idx="196">
                  <c:v>0.6233570318712649</c:v>
                </c:pt>
                <c:pt idx="197">
                  <c:v>0.62335346691332161</c:v>
                </c:pt>
                <c:pt idx="198">
                  <c:v>0.62335149592408701</c:v>
                </c:pt>
                <c:pt idx="199">
                  <c:v>0.62336728423309751</c:v>
                </c:pt>
                <c:pt idx="200">
                  <c:v>0.62335660563089179</c:v>
                </c:pt>
                <c:pt idx="201">
                  <c:v>0.2568651940761591</c:v>
                </c:pt>
              </c:numCache>
            </c:numRef>
          </c:xVal>
          <c:yVal>
            <c:numRef>
              <c:f>Reference1976!$F$3:$F$204</c:f>
              <c:numCache>
                <c:formatCode>0.0000</c:formatCode>
                <c:ptCount val="202"/>
                <c:pt idx="0">
                  <c:v>1.647655027791152E-2</c:v>
                </c:pt>
                <c:pt idx="1">
                  <c:v>1.6504826323383272E-2</c:v>
                </c:pt>
                <c:pt idx="2">
                  <c:v>1.6547690134642769E-2</c:v>
                </c:pt>
                <c:pt idx="3">
                  <c:v>1.647595794771211E-2</c:v>
                </c:pt>
                <c:pt idx="4">
                  <c:v>1.6351491352841235E-2</c:v>
                </c:pt>
                <c:pt idx="5">
                  <c:v>1.6315917249897765E-2</c:v>
                </c:pt>
                <c:pt idx="6">
                  <c:v>1.6385176068164396E-2</c:v>
                </c:pt>
                <c:pt idx="7">
                  <c:v>1.6393054539621348E-2</c:v>
                </c:pt>
                <c:pt idx="8">
                  <c:v>1.6247669376255464E-2</c:v>
                </c:pt>
                <c:pt idx="9">
                  <c:v>1.6054512807353347E-2</c:v>
                </c:pt>
                <c:pt idx="10">
                  <c:v>1.5924930841162085E-2</c:v>
                </c:pt>
                <c:pt idx="11">
                  <c:v>1.5865747332326898E-2</c:v>
                </c:pt>
                <c:pt idx="12">
                  <c:v>1.584836945594565E-2</c:v>
                </c:pt>
                <c:pt idx="13">
                  <c:v>1.5869533908734461E-2</c:v>
                </c:pt>
                <c:pt idx="14">
                  <c:v>1.5924609033555789E-2</c:v>
                </c:pt>
                <c:pt idx="15">
                  <c:v>1.5924311993682914E-2</c:v>
                </c:pt>
                <c:pt idx="16">
                  <c:v>1.5911850674220157E-2</c:v>
                </c:pt>
                <c:pt idx="17">
                  <c:v>1.5970392981546035E-2</c:v>
                </c:pt>
                <c:pt idx="18">
                  <c:v>1.6098135174015132E-2</c:v>
                </c:pt>
                <c:pt idx="19">
                  <c:v>1.6368717492125016E-2</c:v>
                </c:pt>
                <c:pt idx="20">
                  <c:v>1.6892050413386015E-2</c:v>
                </c:pt>
                <c:pt idx="21">
                  <c:v>1.7635850981573577E-2</c:v>
                </c:pt>
                <c:pt idx="22">
                  <c:v>1.8555340452601418E-2</c:v>
                </c:pt>
                <c:pt idx="23">
                  <c:v>1.968272191553349E-2</c:v>
                </c:pt>
                <c:pt idx="24">
                  <c:v>2.1032588660749252E-2</c:v>
                </c:pt>
                <c:pt idx="25">
                  <c:v>2.2623355797776672E-2</c:v>
                </c:pt>
                <c:pt idx="26">
                  <c:v>2.4482938056391131E-2</c:v>
                </c:pt>
                <c:pt idx="27">
                  <c:v>2.6625647822812064E-2</c:v>
                </c:pt>
                <c:pt idx="28">
                  <c:v>2.9077082538039846E-2</c:v>
                </c:pt>
                <c:pt idx="29">
                  <c:v>3.1851124280601877E-2</c:v>
                </c:pt>
                <c:pt idx="30">
                  <c:v>3.488101697542826E-2</c:v>
                </c:pt>
                <c:pt idx="31">
                  <c:v>3.8140930285456599E-2</c:v>
                </c:pt>
                <c:pt idx="32">
                  <c:v>4.172126552457469E-2</c:v>
                </c:pt>
                <c:pt idx="33">
                  <c:v>4.5709683143973966E-2</c:v>
                </c:pt>
                <c:pt idx="34">
                  <c:v>5.0133780949077777E-2</c:v>
                </c:pt>
                <c:pt idx="35">
                  <c:v>5.4961832061068687E-2</c:v>
                </c:pt>
                <c:pt idx="36">
                  <c:v>6.0158643793796963E-2</c:v>
                </c:pt>
                <c:pt idx="37">
                  <c:v>6.5824651799680306E-2</c:v>
                </c:pt>
                <c:pt idx="38">
                  <c:v>7.2138997531538893E-2</c:v>
                </c:pt>
                <c:pt idx="39">
                  <c:v>7.9225125261985663E-2</c:v>
                </c:pt>
                <c:pt idx="40">
                  <c:v>8.7119256582343832E-2</c:v>
                </c:pt>
                <c:pt idx="41">
                  <c:v>9.5900416483686607E-2</c:v>
                </c:pt>
                <c:pt idx="42">
                  <c:v>0.1060542513189546</c:v>
                </c:pt>
                <c:pt idx="43">
                  <c:v>0.118396664182903</c:v>
                </c:pt>
                <c:pt idx="44">
                  <c:v>0.13343871608130137</c:v>
                </c:pt>
                <c:pt idx="45">
                  <c:v>0.15099078366506979</c:v>
                </c:pt>
                <c:pt idx="46">
                  <c:v>0.17068734176841924</c:v>
                </c:pt>
                <c:pt idx="47">
                  <c:v>0.19261299596669015</c:v>
                </c:pt>
                <c:pt idx="48">
                  <c:v>0.21685976042157459</c:v>
                </c:pt>
                <c:pt idx="49">
                  <c:v>0.24315118870575186</c:v>
                </c:pt>
                <c:pt idx="50">
                  <c:v>0.27083049229510431</c:v>
                </c:pt>
                <c:pt idx="51">
                  <c:v>0.29929699323793801</c:v>
                </c:pt>
                <c:pt idx="52">
                  <c:v>0.32823184855056198</c:v>
                </c:pt>
                <c:pt idx="53">
                  <c:v>0.35704893548757444</c:v>
                </c:pt>
                <c:pt idx="54">
                  <c:v>0.38500537223664011</c:v>
                </c:pt>
                <c:pt idx="55">
                  <c:v>0.41166265378145717</c:v>
                </c:pt>
                <c:pt idx="56">
                  <c:v>0.4366144500067366</c:v>
                </c:pt>
                <c:pt idx="57">
                  <c:v>0.45937643682054691</c:v>
                </c:pt>
                <c:pt idx="58">
                  <c:v>0.47966464773926648</c:v>
                </c:pt>
                <c:pt idx="59">
                  <c:v>0.49748692762553437</c:v>
                </c:pt>
                <c:pt idx="60">
                  <c:v>0.5130694152738311</c:v>
                </c:pt>
                <c:pt idx="61">
                  <c:v>0.52652791196569304</c:v>
                </c:pt>
                <c:pt idx="62">
                  <c:v>0.53802773736158094</c:v>
                </c:pt>
                <c:pt idx="63">
                  <c:v>0.54795221950847461</c:v>
                </c:pt>
                <c:pt idx="64">
                  <c:v>0.5565357953801563</c:v>
                </c:pt>
                <c:pt idx="65">
                  <c:v>0.56383813473825806</c:v>
                </c:pt>
                <c:pt idx="66">
                  <c:v>0.56994793536552069</c:v>
                </c:pt>
                <c:pt idx="67">
                  <c:v>0.57491147790600317</c:v>
                </c:pt>
                <c:pt idx="68">
                  <c:v>0.57875511985599459</c:v>
                </c:pt>
                <c:pt idx="69">
                  <c:v>0.58162423702886945</c:v>
                </c:pt>
                <c:pt idx="70">
                  <c:v>0.58366718525450401</c:v>
                </c:pt>
                <c:pt idx="71">
                  <c:v>0.58501122460244559</c:v>
                </c:pt>
                <c:pt idx="72">
                  <c:v>0.58584922464763522</c:v>
                </c:pt>
                <c:pt idx="73">
                  <c:v>0.58636451219522967</c:v>
                </c:pt>
                <c:pt idx="74">
                  <c:v>0.58664281682323127</c:v>
                </c:pt>
                <c:pt idx="75">
                  <c:v>0.58675024466834769</c:v>
                </c:pt>
                <c:pt idx="76">
                  <c:v>0.58674207490236319</c:v>
                </c:pt>
                <c:pt idx="77">
                  <c:v>0.58662620172259483</c:v>
                </c:pt>
                <c:pt idx="78">
                  <c:v>0.58639576139630745</c:v>
                </c:pt>
                <c:pt idx="79">
                  <c:v>0.58606003034178689</c:v>
                </c:pt>
                <c:pt idx="80">
                  <c:v>0.58562337582615454</c:v>
                </c:pt>
                <c:pt idx="81">
                  <c:v>0.58508848686931381</c:v>
                </c:pt>
                <c:pt idx="82">
                  <c:v>0.58446117128935571</c:v>
                </c:pt>
                <c:pt idx="83">
                  <c:v>0.58374657333768432</c:v>
                </c:pt>
                <c:pt idx="84">
                  <c:v>0.582948275575908</c:v>
                </c:pt>
                <c:pt idx="85">
                  <c:v>0.582070930212781</c:v>
                </c:pt>
                <c:pt idx="86">
                  <c:v>0.58111726458414592</c:v>
                </c:pt>
                <c:pt idx="87">
                  <c:v>0.58009017090904591</c:v>
                </c:pt>
                <c:pt idx="88">
                  <c:v>0.57899093950059588</c:v>
                </c:pt>
                <c:pt idx="89">
                  <c:v>0.57782032309380749</c:v>
                </c:pt>
                <c:pt idx="90">
                  <c:v>0.57658133305861747</c:v>
                </c:pt>
                <c:pt idx="91">
                  <c:v>0.57527467338924121</c:v>
                </c:pt>
                <c:pt idx="92">
                  <c:v>0.5739005703085871</c:v>
                </c:pt>
                <c:pt idx="93">
                  <c:v>0.57245722959092549</c:v>
                </c:pt>
                <c:pt idx="94">
                  <c:v>0.57094475896924179</c:v>
                </c:pt>
                <c:pt idx="95">
                  <c:v>0.56936285585178492</c:v>
                </c:pt>
                <c:pt idx="96">
                  <c:v>0.56771091464802403</c:v>
                </c:pt>
                <c:pt idx="97">
                  <c:v>0.56599010058980559</c:v>
                </c:pt>
                <c:pt idx="98">
                  <c:v>0.56420188942199268</c:v>
                </c:pt>
                <c:pt idx="99">
                  <c:v>0.56234888378270131</c:v>
                </c:pt>
                <c:pt idx="100">
                  <c:v>0.56043661077703788</c:v>
                </c:pt>
                <c:pt idx="101">
                  <c:v>0.55846876629211317</c:v>
                </c:pt>
                <c:pt idx="102">
                  <c:v>0.55644807861844148</c:v>
                </c:pt>
                <c:pt idx="103">
                  <c:v>0.55438018062537509</c:v>
                </c:pt>
                <c:pt idx="104">
                  <c:v>0.55227064913486068</c:v>
                </c:pt>
                <c:pt idx="105">
                  <c:v>0.55011869579962214</c:v>
                </c:pt>
                <c:pt idx="106">
                  <c:v>0.54792551666018841</c:v>
                </c:pt>
                <c:pt idx="107">
                  <c:v>0.5457216845236027</c:v>
                </c:pt>
                <c:pt idx="108">
                  <c:v>0.54355339489232057</c:v>
                </c:pt>
                <c:pt idx="109">
                  <c:v>0.54143414618980734</c:v>
                </c:pt>
                <c:pt idx="110">
                  <c:v>0.53933672694119439</c:v>
                </c:pt>
                <c:pt idx="111">
                  <c:v>0.53724378360112324</c:v>
                </c:pt>
                <c:pt idx="112">
                  <c:v>0.53518860597759199</c:v>
                </c:pt>
                <c:pt idx="113">
                  <c:v>0.53321905638698508</c:v>
                </c:pt>
                <c:pt idx="114">
                  <c:v>0.53134816309595234</c:v>
                </c:pt>
                <c:pt idx="115">
                  <c:v>0.52955915691655486</c:v>
                </c:pt>
                <c:pt idx="116">
                  <c:v>0.52784508294767762</c:v>
                </c:pt>
                <c:pt idx="117">
                  <c:v>0.52621692731400316</c:v>
                </c:pt>
                <c:pt idx="118">
                  <c:v>0.5246843260275289</c:v>
                </c:pt>
                <c:pt idx="119">
                  <c:v>0.5232507455970874</c:v>
                </c:pt>
                <c:pt idx="120">
                  <c:v>0.52191622737702825</c:v>
                </c:pt>
                <c:pt idx="121">
                  <c:v>0.52067737401169556</c:v>
                </c:pt>
                <c:pt idx="122">
                  <c:v>0.51952524184701143</c:v>
                </c:pt>
                <c:pt idx="123">
                  <c:v>0.51845209434350337</c:v>
                </c:pt>
                <c:pt idx="124">
                  <c:v>0.51745175819164446</c:v>
                </c:pt>
                <c:pt idx="125">
                  <c:v>0.51650767181730572</c:v>
                </c:pt>
                <c:pt idx="126">
                  <c:v>0.51560816236605478</c:v>
                </c:pt>
                <c:pt idx="127">
                  <c:v>0.51475889297753086</c:v>
                </c:pt>
                <c:pt idx="128">
                  <c:v>0.51396424797808626</c:v>
                </c:pt>
                <c:pt idx="129">
                  <c:v>0.51322304756899184</c:v>
                </c:pt>
                <c:pt idx="130">
                  <c:v>0.51253514526710398</c:v>
                </c:pt>
                <c:pt idx="131">
                  <c:v>0.5118981734137853</c:v>
                </c:pt>
                <c:pt idx="132">
                  <c:v>0.51131511978207944</c:v>
                </c:pt>
                <c:pt idx="133">
                  <c:v>0.51079450721748387</c:v>
                </c:pt>
                <c:pt idx="134">
                  <c:v>0.51033762654693948</c:v>
                </c:pt>
                <c:pt idx="135">
                  <c:v>0.50992851469420175</c:v>
                </c:pt>
                <c:pt idx="136">
                  <c:v>0.50954929756531686</c:v>
                </c:pt>
                <c:pt idx="137">
                  <c:v>0.509204220804231</c:v>
                </c:pt>
                <c:pt idx="138">
                  <c:v>0.50889533719571878</c:v>
                </c:pt>
                <c:pt idx="139">
                  <c:v>0.50861945251854301</c:v>
                </c:pt>
                <c:pt idx="140">
                  <c:v>0.50838040559311048</c:v>
                </c:pt>
                <c:pt idx="141">
                  <c:v>0.50818116706134109</c:v>
                </c:pt>
                <c:pt idx="142">
                  <c:v>0.50801423732398987</c:v>
                </c:pt>
                <c:pt idx="143">
                  <c:v>0.50786225516725558</c:v>
                </c:pt>
                <c:pt idx="144">
                  <c:v>0.50771512014446574</c:v>
                </c:pt>
                <c:pt idx="145">
                  <c:v>0.50757842791681351</c:v>
                </c:pt>
                <c:pt idx="146">
                  <c:v>0.50745615236495389</c:v>
                </c:pt>
                <c:pt idx="147">
                  <c:v>0.5073436019410944</c:v>
                </c:pt>
                <c:pt idx="148">
                  <c:v>0.50723267042105546</c:v>
                </c:pt>
                <c:pt idx="149">
                  <c:v>0.50711920175632486</c:v>
                </c:pt>
                <c:pt idx="150">
                  <c:v>0.50700864897107067</c:v>
                </c:pt>
                <c:pt idx="151">
                  <c:v>0.5069015255716196</c:v>
                </c:pt>
                <c:pt idx="152">
                  <c:v>0.50679985123261984</c:v>
                </c:pt>
                <c:pt idx="153">
                  <c:v>0.50671640363715453</c:v>
                </c:pt>
                <c:pt idx="154">
                  <c:v>0.50665829989582478</c:v>
                </c:pt>
                <c:pt idx="155">
                  <c:v>0.50661638669866305</c:v>
                </c:pt>
                <c:pt idx="156">
                  <c:v>0.50657918527017998</c:v>
                </c:pt>
                <c:pt idx="157">
                  <c:v>0.50654789468740247</c:v>
                </c:pt>
                <c:pt idx="158">
                  <c:v>0.50652297416615999</c:v>
                </c:pt>
                <c:pt idx="159">
                  <c:v>0.50650180745496043</c:v>
                </c:pt>
                <c:pt idx="160">
                  <c:v>0.50649506730493266</c:v>
                </c:pt>
                <c:pt idx="161">
                  <c:v>0.50649507409063865</c:v>
                </c:pt>
                <c:pt idx="162">
                  <c:v>0.5064950778007834</c:v>
                </c:pt>
                <c:pt idx="163">
                  <c:v>0.50649507600257027</c:v>
                </c:pt>
                <c:pt idx="164">
                  <c:v>0.5064950777257935</c:v>
                </c:pt>
                <c:pt idx="165">
                  <c:v>0.50649508148840816</c:v>
                </c:pt>
                <c:pt idx="166">
                  <c:v>0.50649506992058269</c:v>
                </c:pt>
                <c:pt idx="167">
                  <c:v>0.50649507975421559</c:v>
                </c:pt>
                <c:pt idx="168">
                  <c:v>0.50649506960044022</c:v>
                </c:pt>
                <c:pt idx="169">
                  <c:v>0.50649508345640304</c:v>
                </c:pt>
                <c:pt idx="170">
                  <c:v>0.50649507504356373</c:v>
                </c:pt>
                <c:pt idx="171">
                  <c:v>0.5064951044355176</c:v>
                </c:pt>
                <c:pt idx="172">
                  <c:v>0.50649505441077547</c:v>
                </c:pt>
                <c:pt idx="173">
                  <c:v>0.50649512057578538</c:v>
                </c:pt>
                <c:pt idx="174">
                  <c:v>0.50649506456200633</c:v>
                </c:pt>
                <c:pt idx="175">
                  <c:v>0.50649509614261778</c:v>
                </c:pt>
                <c:pt idx="176">
                  <c:v>0.50649512884093795</c:v>
                </c:pt>
                <c:pt idx="177">
                  <c:v>0.50649496177901321</c:v>
                </c:pt>
                <c:pt idx="178">
                  <c:v>0.50649518012932637</c:v>
                </c:pt>
                <c:pt idx="179">
                  <c:v>0.50649522015320414</c:v>
                </c:pt>
                <c:pt idx="180">
                  <c:v>0.50649502865689611</c:v>
                </c:pt>
                <c:pt idx="181">
                  <c:v>0.50649524272883029</c:v>
                </c:pt>
                <c:pt idx="182">
                  <c:v>0.50649529568155216</c:v>
                </c:pt>
                <c:pt idx="183">
                  <c:v>0.5064949611218108</c:v>
                </c:pt>
                <c:pt idx="184">
                  <c:v>0.50649539310302172</c:v>
                </c:pt>
                <c:pt idx="185">
                  <c:v>0.50649509614261778</c:v>
                </c:pt>
                <c:pt idx="186">
                  <c:v>0.50649478857883912</c:v>
                </c:pt>
                <c:pt idx="187">
                  <c:v>0.50649524425463588</c:v>
                </c:pt>
                <c:pt idx="188">
                  <c:v>0.50649541801054632</c:v>
                </c:pt>
                <c:pt idx="189">
                  <c:v>0.50649487457342557</c:v>
                </c:pt>
                <c:pt idx="190">
                  <c:v>0.50649485860820831</c:v>
                </c:pt>
                <c:pt idx="191">
                  <c:v>0.50649560566027163</c:v>
                </c:pt>
                <c:pt idx="192">
                  <c:v>0.50649427842245187</c:v>
                </c:pt>
                <c:pt idx="193">
                  <c:v>0.50649461496770121</c:v>
                </c:pt>
                <c:pt idx="194">
                  <c:v>0.50649617972682226</c:v>
                </c:pt>
                <c:pt idx="195">
                  <c:v>0.50649533367724997</c:v>
                </c:pt>
                <c:pt idx="196">
                  <c:v>0.50649644521931025</c:v>
                </c:pt>
                <c:pt idx="197">
                  <c:v>0.50649697996300169</c:v>
                </c:pt>
                <c:pt idx="198">
                  <c:v>0.50649727561138702</c:v>
                </c:pt>
                <c:pt idx="199">
                  <c:v>0.50649490736503544</c:v>
                </c:pt>
                <c:pt idx="200">
                  <c:v>0.50649650915536626</c:v>
                </c:pt>
                <c:pt idx="201">
                  <c:v>1.647655027791152E-2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F2-42CD-9732-DAAE446027DF}"/>
            </c:ext>
          </c:extLst>
        </c:ser>
        <c:ser>
          <c:idx val="5"/>
          <c:order val="1"/>
          <c:tx>
            <c:v>Planckain Locus</c:v>
          </c:tx>
          <c:spPr>
            <a:ln w="12700">
              <a:solidFill>
                <a:schemeClr val="bg1"/>
              </a:solidFill>
            </a:ln>
          </c:spPr>
          <c:marker>
            <c:symbol val="plus"/>
            <c:size val="2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Reference1976!$B$5:$B$16</c:f>
              <c:numCache>
                <c:formatCode>0.0000</c:formatCode>
                <c:ptCount val="12"/>
                <c:pt idx="0">
                  <c:v>0.24944573929850494</c:v>
                </c:pt>
                <c:pt idx="1">
                  <c:v>0.22450356378142139</c:v>
                </c:pt>
                <c:pt idx="2">
                  <c:v>0.21116954975222693</c:v>
                </c:pt>
                <c:pt idx="3">
                  <c:v>0.2033366783743101</c:v>
                </c:pt>
                <c:pt idx="4">
                  <c:v>0.19834657573905493</c:v>
                </c:pt>
                <c:pt idx="5">
                  <c:v>0.19503546099290778</c:v>
                </c:pt>
                <c:pt idx="6">
                  <c:v>0.19270433534692791</c:v>
                </c:pt>
                <c:pt idx="7">
                  <c:v>0.19104316060073062</c:v>
                </c:pt>
                <c:pt idx="8">
                  <c:v>0.1897271048491895</c:v>
                </c:pt>
                <c:pt idx="9">
                  <c:v>0.18870789618995026</c:v>
                </c:pt>
                <c:pt idx="10">
                  <c:v>0.18796521739130434</c:v>
                </c:pt>
                <c:pt idx="11">
                  <c:v>0.18727902824937867</c:v>
                </c:pt>
              </c:numCache>
            </c:numRef>
          </c:xVal>
          <c:yVal>
            <c:numRef>
              <c:f>Reference1976!$C$5:$C$16</c:f>
              <c:numCache>
                <c:formatCode>0.0000</c:formatCode>
                <c:ptCount val="12"/>
                <c:pt idx="0">
                  <c:v>0.52377636291285312</c:v>
                </c:pt>
                <c:pt idx="1">
                  <c:v>0.50420907517672253</c:v>
                </c:pt>
                <c:pt idx="2">
                  <c:v>0.48717052260359356</c:v>
                </c:pt>
                <c:pt idx="3">
                  <c:v>0.47345396387355754</c:v>
                </c:pt>
                <c:pt idx="4">
                  <c:v>0.46249236015054529</c:v>
                </c:pt>
                <c:pt idx="5">
                  <c:v>0.45375295508274227</c:v>
                </c:pt>
                <c:pt idx="6">
                  <c:v>0.44680105463404868</c:v>
                </c:pt>
                <c:pt idx="7">
                  <c:v>0.441110810445136</c:v>
                </c:pt>
                <c:pt idx="8">
                  <c:v>0.43642705697284728</c:v>
                </c:pt>
                <c:pt idx="9">
                  <c:v>0.43251311430149092</c:v>
                </c:pt>
                <c:pt idx="10">
                  <c:v>0.42918260869565217</c:v>
                </c:pt>
                <c:pt idx="11">
                  <c:v>0.42641859488220674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F2-42CD-9732-DAAE446027DF}"/>
            </c:ext>
          </c:extLst>
        </c:ser>
        <c:ser>
          <c:idx val="2"/>
          <c:order val="2"/>
          <c:tx>
            <c:v>D65 white point</c:v>
          </c:tx>
          <c:spPr>
            <a:ln w="28575">
              <a:noFill/>
            </a:ln>
          </c:spPr>
          <c:marker>
            <c:symbol val="plus"/>
            <c:size val="9"/>
            <c:spPr>
              <a:noFill/>
              <a:ln w="16510">
                <a:solidFill>
                  <a:schemeClr val="bg1"/>
                </a:solidFill>
              </a:ln>
            </c:spPr>
          </c:marker>
          <c:xVal>
            <c:numRef>
              <c:f>Reference1976!$B$23</c:f>
              <c:numCache>
                <c:formatCode>General</c:formatCode>
                <c:ptCount val="1"/>
                <c:pt idx="0">
                  <c:v>0.19783000664283679</c:v>
                </c:pt>
              </c:numCache>
            </c:numRef>
          </c:xVal>
          <c:yVal>
            <c:numRef>
              <c:f>Reference1976!$C$23</c:f>
              <c:numCache>
                <c:formatCode>General</c:formatCode>
                <c:ptCount val="1"/>
                <c:pt idx="0">
                  <c:v>0.46831999493879101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2-42CD-9732-DAAE446027DF}"/>
            </c:ext>
          </c:extLst>
        </c:ser>
        <c:ser>
          <c:idx val="1"/>
          <c:order val="3"/>
          <c:tx>
            <c:v>2020</c:v>
          </c:tx>
          <c:spPr>
            <a:ln w="12700">
              <a:solidFill>
                <a:schemeClr val="accent2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Reference1976!$K$31:$K$34</c:f>
              <c:numCache>
                <c:formatCode>0.0000</c:formatCode>
                <c:ptCount val="4"/>
                <c:pt idx="0">
                  <c:v>0.55660377358490576</c:v>
                </c:pt>
                <c:pt idx="1">
                  <c:v>5.5628272251308904E-2</c:v>
                </c:pt>
                <c:pt idx="2">
                  <c:v>0.15927051671732523</c:v>
                </c:pt>
                <c:pt idx="3">
                  <c:v>0.55660377358490576</c:v>
                </c:pt>
              </c:numCache>
            </c:numRef>
          </c:xVal>
          <c:yVal>
            <c:numRef>
              <c:f>Reference1976!$L$31:$L$34</c:f>
              <c:numCache>
                <c:formatCode>0.0000</c:formatCode>
                <c:ptCount val="4"/>
                <c:pt idx="0">
                  <c:v>0.51650943396226412</c:v>
                </c:pt>
                <c:pt idx="1">
                  <c:v>0.58679646596858637</c:v>
                </c:pt>
                <c:pt idx="2">
                  <c:v>0.12583586626139817</c:v>
                </c:pt>
                <c:pt idx="3">
                  <c:v>0.51650943396226412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2-42CD-9732-DAAE446027DF}"/>
            </c:ext>
          </c:extLst>
        </c:ser>
        <c:ser>
          <c:idx val="3"/>
          <c:order val="4"/>
          <c:tx>
            <c:strRef>
              <c:f>References!$I$37</c:f>
              <c:strCache>
                <c:ptCount val="1"/>
                <c:pt idx="0">
                  <c:v>NTSC 1953</c:v>
                </c:pt>
              </c:strCache>
            </c:strRef>
          </c:tx>
          <c:spPr>
            <a:ln w="12700">
              <a:solidFill>
                <a:schemeClr val="accent4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Reference1976!$K$39:$K$42</c:f>
              <c:numCache>
                <c:formatCode>0.0000</c:formatCode>
                <c:ptCount val="4"/>
                <c:pt idx="0">
                  <c:v>0.47686832740213525</c:v>
                </c:pt>
                <c:pt idx="1">
                  <c:v>7.567567567567568E-2</c:v>
                </c:pt>
                <c:pt idx="2">
                  <c:v>0.1521739130434783</c:v>
                </c:pt>
                <c:pt idx="3">
                  <c:v>0.47686832740213525</c:v>
                </c:pt>
              </c:numCache>
            </c:numRef>
          </c:xVal>
          <c:yVal>
            <c:numRef>
              <c:f>Reference1976!$L$39:$L$42</c:f>
              <c:numCache>
                <c:formatCode>0.0000</c:formatCode>
                <c:ptCount val="4"/>
                <c:pt idx="0">
                  <c:v>0.52846975088967973</c:v>
                </c:pt>
                <c:pt idx="1">
                  <c:v>0.57567567567567568</c:v>
                </c:pt>
                <c:pt idx="2">
                  <c:v>0.19565217391304349</c:v>
                </c:pt>
                <c:pt idx="3">
                  <c:v>0.52846975088967973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F2-42CD-9732-DAAE446027DF}"/>
            </c:ext>
          </c:extLst>
        </c:ser>
        <c:ser>
          <c:idx val="8"/>
          <c:order val="5"/>
          <c:tx>
            <c:v>P3</c:v>
          </c:tx>
          <c:spPr>
            <a:ln w="63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Reference1976!$K$23:$K$26</c:f>
              <c:numCache>
                <c:formatCode>0.0000</c:formatCode>
                <c:ptCount val="4"/>
                <c:pt idx="0">
                  <c:v>0.49635036496350371</c:v>
                </c:pt>
                <c:pt idx="1">
                  <c:v>9.8604651162790699E-2</c:v>
                </c:pt>
                <c:pt idx="2">
                  <c:v>0.17543859649122806</c:v>
                </c:pt>
                <c:pt idx="3">
                  <c:v>0.49635036496350371</c:v>
                </c:pt>
              </c:numCache>
            </c:numRef>
          </c:xVal>
          <c:yVal>
            <c:numRef>
              <c:f>Reference1976!$L$23:$L$26</c:f>
              <c:numCache>
                <c:formatCode>0.0000</c:formatCode>
                <c:ptCount val="4"/>
                <c:pt idx="0">
                  <c:v>0.52554744525547448</c:v>
                </c:pt>
                <c:pt idx="1">
                  <c:v>0.57767441860465107</c:v>
                </c:pt>
                <c:pt idx="2">
                  <c:v>0.15789473684210528</c:v>
                </c:pt>
                <c:pt idx="3">
                  <c:v>0.52554744525547448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F2-42CD-9732-DAAE446027DF}"/>
            </c:ext>
          </c:extLst>
        </c:ser>
        <c:ser>
          <c:idx val="6"/>
          <c:order val="6"/>
          <c:tx>
            <c:v>Rec709-sRGB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Reference1976!$K$5:$K$8</c:f>
              <c:numCache>
                <c:formatCode>0.0000</c:formatCode>
                <c:ptCount val="4"/>
                <c:pt idx="0">
                  <c:v>0.45070422535211269</c:v>
                </c:pt>
                <c:pt idx="1">
                  <c:v>0.125</c:v>
                </c:pt>
                <c:pt idx="2">
                  <c:v>0.17543859649122806</c:v>
                </c:pt>
                <c:pt idx="3">
                  <c:v>0.45070422535211269</c:v>
                </c:pt>
              </c:numCache>
            </c:numRef>
          </c:xVal>
          <c:yVal>
            <c:numRef>
              <c:f>Reference1976!$L$5:$L$8</c:f>
              <c:numCache>
                <c:formatCode>0.0000</c:formatCode>
                <c:ptCount val="4"/>
                <c:pt idx="0">
                  <c:v>0.522887323943662</c:v>
                </c:pt>
                <c:pt idx="1">
                  <c:v>0.5625</c:v>
                </c:pt>
                <c:pt idx="2">
                  <c:v>0.15789473684210528</c:v>
                </c:pt>
                <c:pt idx="3">
                  <c:v>0.522887323943662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F2-42CD-9732-DAAE446027DF}"/>
            </c:ext>
          </c:extLst>
        </c:ser>
        <c:ser>
          <c:idx val="0"/>
          <c:order val="7"/>
          <c:tx>
            <c:strRef>
              <c:f>'Measurement data'!$N$14</c:f>
              <c:strCache>
                <c:ptCount val="1"/>
                <c:pt idx="0">
                  <c:v>White point: 6466 K</c:v>
                </c:pt>
              </c:strCache>
            </c:strRef>
          </c:tx>
          <c:spPr>
            <a:ln w="12700"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chemeClr val="bg1"/>
                </a:solidFill>
              </a:ln>
            </c:spPr>
          </c:marker>
          <c:dLbls>
            <c:spPr>
              <a:solidFill>
                <a:sysClr val="window" lastClr="FFFFFF">
                  <a:alpha val="80000"/>
                </a:sys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'Measurement data'!$C$30</c:f>
              <c:numCache>
                <c:formatCode>0.0000</c:formatCode>
                <c:ptCount val="1"/>
                <c:pt idx="0">
                  <c:v>0.1946578138864184</c:v>
                </c:pt>
              </c:numCache>
            </c:numRef>
          </c:xVal>
          <c:yVal>
            <c:numRef>
              <c:f>'Measurement data'!$C$31</c:f>
              <c:numCache>
                <c:formatCode>0.0000</c:formatCode>
                <c:ptCount val="1"/>
                <c:pt idx="0">
                  <c:v>0.47228269422976266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F2-42CD-9732-DAAE446027DF}"/>
            </c:ext>
          </c:extLst>
        </c:ser>
        <c:ser>
          <c:idx val="9"/>
          <c:order val="8"/>
          <c:tx>
            <c:strRef>
              <c:f>'Measurement data'!$N$35</c:f>
              <c:strCache>
                <c:ptCount val="1"/>
                <c:pt idx="0">
                  <c:v>This panel: 62.8%,94.4%,86.3%,108.3%</c:v>
                </c:pt>
              </c:strCache>
            </c:strRef>
          </c:tx>
          <c:spPr>
            <a:ln w="19050">
              <a:solidFill>
                <a:srgbClr val="FF0000">
                  <a:alpha val="50000"/>
                </a:srgbClr>
              </a:solidFill>
            </a:ln>
          </c:spPr>
          <c:marker>
            <c:symbol val="circle"/>
            <c:size val="7"/>
            <c:spPr>
              <a:noFill/>
              <a:ln w="15875">
                <a:solidFill>
                  <a:srgbClr val="FF0000"/>
                </a:solidFill>
              </a:ln>
            </c:spPr>
          </c:marker>
          <c:dLbls>
            <c:spPr>
              <a:solidFill>
                <a:sysClr val="window" lastClr="FFFFFF">
                  <a:alpha val="50000"/>
                </a:sys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('Measurement data'!$D$30,'Measurement data'!$E$30,'Measurement data'!$F$30,'Measurement data'!$D$30)</c:f>
              <c:numCache>
                <c:formatCode>0.0000</c:formatCode>
                <c:ptCount val="4"/>
                <c:pt idx="0">
                  <c:v>0.4687893274088733</c:v>
                </c:pt>
                <c:pt idx="1">
                  <c:v>0.11736079653705153</c:v>
                </c:pt>
                <c:pt idx="2">
                  <c:v>0.17661568036284775</c:v>
                </c:pt>
                <c:pt idx="3">
                  <c:v>0.4687893274088733</c:v>
                </c:pt>
              </c:numCache>
            </c:numRef>
          </c:xVal>
          <c:yVal>
            <c:numRef>
              <c:f>('Measurement data'!$D$31,'Measurement data'!$E$31,'Measurement data'!$F$31,'Measurement data'!$D$31)</c:f>
              <c:numCache>
                <c:formatCode>0.0000</c:formatCode>
                <c:ptCount val="4"/>
                <c:pt idx="0">
                  <c:v>0.52106796389388932</c:v>
                </c:pt>
                <c:pt idx="1">
                  <c:v>0.57479781794814133</c:v>
                </c:pt>
                <c:pt idx="2">
                  <c:v>0.16577941431205132</c:v>
                </c:pt>
                <c:pt idx="3">
                  <c:v>0.52106796389388932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F2-42CD-9732-DAAE4460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5840"/>
        <c:axId val="97958144"/>
      </c:scatterChart>
      <c:valAx>
        <c:axId val="97955840"/>
        <c:scaling>
          <c:orientation val="minMax"/>
          <c:max val="0.60000000000000009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u'</a:t>
                </a:r>
              </a:p>
            </c:rich>
          </c:tx>
          <c:layout>
            <c:manualLayout>
              <c:xMode val="edge"/>
              <c:yMode val="edge"/>
              <c:x val="0.45607753374876875"/>
              <c:y val="0.96319427419791337"/>
            </c:manualLayout>
          </c:layout>
          <c:overlay val="0"/>
        </c:title>
        <c:numFmt formatCode="#,##0.00" sourceLinked="0"/>
        <c:majorTickMark val="cross"/>
        <c:minorTickMark val="out"/>
        <c:tickLblPos val="nextTo"/>
        <c:spPr>
          <a:ln w="6350"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97958144"/>
        <c:crosses val="autoZero"/>
        <c:crossBetween val="midCat"/>
      </c:valAx>
      <c:valAx>
        <c:axId val="97958144"/>
        <c:scaling>
          <c:orientation val="minMax"/>
          <c:max val="0.60000000000000009"/>
          <c:min val="0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</a:ln>
          </c:spPr>
        </c:majorGridlines>
        <c:minorGridlines/>
        <c:title>
          <c:tx>
            <c:rich>
              <a:bodyPr rot="0" vert="horz"/>
              <a:lstStyle/>
              <a:p>
                <a:pPr>
                  <a:defRPr lang="ja-JP"/>
                </a:pPr>
                <a:r>
                  <a:rPr lang="en-US"/>
                  <a:t>v'</a:t>
                </a:r>
              </a:p>
            </c:rich>
          </c:tx>
          <c:layout>
            <c:manualLayout>
              <c:xMode val="edge"/>
              <c:yMode val="edge"/>
              <c:x val="1.2561690405058702E-2"/>
              <c:y val="0.51905061336508673"/>
            </c:manualLayout>
          </c:layout>
          <c:overlay val="0"/>
        </c:title>
        <c:numFmt formatCode="0.00" sourceLinked="0"/>
        <c:majorTickMark val="cross"/>
        <c:minorTickMark val="out"/>
        <c:tickLblPos val="nextTo"/>
        <c:spPr>
          <a:ln w="6350"/>
        </c:spPr>
        <c:txPr>
          <a:bodyPr/>
          <a:lstStyle/>
          <a:p>
            <a:pPr>
              <a:defRPr lang="ja-JP"/>
            </a:pPr>
            <a:endParaRPr lang="en-US"/>
          </a:p>
        </c:txPr>
        <c:crossAx val="97955840"/>
        <c:crosses val="autoZero"/>
        <c:crossBetween val="midCat"/>
      </c:valAx>
      <c:spPr>
        <a:solidFill>
          <a:schemeClr val="bg1">
            <a:lumMod val="65000"/>
          </a:schemeClr>
        </a:solidFill>
        <a:ln>
          <a:solidFill>
            <a:schemeClr val="bg1"/>
          </a:solidFill>
        </a:ln>
      </c:spPr>
    </c:plotArea>
    <c:legend>
      <c:legendPos val="r"/>
      <c:layout>
        <c:manualLayout>
          <c:xMode val="edge"/>
          <c:yMode val="edge"/>
          <c:x val="0.5411316232007215"/>
          <c:y val="0.71454453702318144"/>
          <c:w val="0.42512193953630267"/>
          <c:h val="0.23907572705658536"/>
        </c:manualLayout>
      </c:layout>
      <c:overlay val="0"/>
      <c:spPr>
        <a:solidFill>
          <a:schemeClr val="bg1">
            <a:lumMod val="6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c:spPr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</xdr:row>
      <xdr:rowOff>4760</xdr:rowOff>
    </xdr:from>
    <xdr:to>
      <xdr:col>12</xdr:col>
      <xdr:colOff>590549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</xdr:colOff>
      <xdr:row>35</xdr:row>
      <xdr:rowOff>190499</xdr:rowOff>
    </xdr:from>
    <xdr:to>
      <xdr:col>13</xdr:col>
      <xdr:colOff>0</xdr:colOff>
      <xdr:row>57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59</xdr:row>
      <xdr:rowOff>0</xdr:rowOff>
    </xdr:from>
    <xdr:to>
      <xdr:col>13</xdr:col>
      <xdr:colOff>9526</xdr:colOff>
      <xdr:row>86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25</xdr:col>
      <xdr:colOff>581023</xdr:colOff>
      <xdr:row>33</xdr:row>
      <xdr:rowOff>185740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olb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AE1C-0B3C-40D7-A3CC-67C92A04EC87}">
  <dimension ref="A1:I16"/>
  <sheetViews>
    <sheetView tabSelected="1" workbookViewId="0">
      <selection activeCell="I25" sqref="I25"/>
    </sheetView>
  </sheetViews>
  <sheetFormatPr defaultRowHeight="14.5"/>
  <sheetData>
    <row r="1" spans="1:9" ht="23.5">
      <c r="A1" s="101" t="s">
        <v>46</v>
      </c>
      <c r="B1" s="102"/>
      <c r="C1" s="102"/>
      <c r="D1" s="102"/>
      <c r="E1" s="102"/>
      <c r="F1" s="102"/>
      <c r="G1" s="102"/>
      <c r="H1" s="102"/>
      <c r="I1" s="102"/>
    </row>
    <row r="2" spans="1:9" ht="23.5">
      <c r="A2" s="103" t="s">
        <v>47</v>
      </c>
      <c r="B2" s="102"/>
      <c r="C2" s="102"/>
      <c r="D2" s="102"/>
      <c r="E2" s="102"/>
      <c r="F2" s="102"/>
      <c r="G2" s="102"/>
      <c r="H2" s="102"/>
      <c r="I2" s="102"/>
    </row>
    <row r="3" spans="1:9" ht="23.5">
      <c r="A3" s="104" t="s">
        <v>60</v>
      </c>
      <c r="B3" s="104"/>
      <c r="C3" s="104"/>
      <c r="D3" s="105"/>
      <c r="E3" s="105"/>
      <c r="F3" s="105"/>
      <c r="G3" s="105"/>
      <c r="H3" s="105"/>
    </row>
    <row r="4" spans="1:9">
      <c r="A4" s="106" t="s">
        <v>59</v>
      </c>
      <c r="B4" s="107"/>
    </row>
    <row r="5" spans="1:9">
      <c r="A5" s="106" t="s">
        <v>48</v>
      </c>
    </row>
    <row r="6" spans="1:9">
      <c r="B6" s="107"/>
    </row>
    <row r="7" spans="1:9">
      <c r="A7" t="s">
        <v>49</v>
      </c>
    </row>
    <row r="8" spans="1:9">
      <c r="A8" t="s">
        <v>50</v>
      </c>
    </row>
    <row r="9" spans="1:9">
      <c r="A9" t="s">
        <v>51</v>
      </c>
    </row>
    <row r="10" spans="1:9">
      <c r="A10" t="s">
        <v>52</v>
      </c>
    </row>
    <row r="11" spans="1:9">
      <c r="A11" t="s">
        <v>53</v>
      </c>
    </row>
    <row r="12" spans="1:9">
      <c r="A12" t="s">
        <v>54</v>
      </c>
    </row>
    <row r="13" spans="1:9">
      <c r="A13" t="s">
        <v>55</v>
      </c>
    </row>
    <row r="14" spans="1:9">
      <c r="A14" t="s">
        <v>56</v>
      </c>
    </row>
    <row r="15" spans="1:9">
      <c r="A15" t="s">
        <v>57</v>
      </c>
    </row>
    <row r="16" spans="1:9">
      <c r="A16" s="108" t="s">
        <v>58</v>
      </c>
      <c r="B16" s="109"/>
      <c r="C16" s="109"/>
    </row>
  </sheetData>
  <mergeCells count="1">
    <mergeCell ref="A16:C16"/>
  </mergeCells>
  <hyperlinks>
    <hyperlink ref="A16" r:id="rId1" xr:uid="{02724A7B-92DE-4654-829F-7A029BD65A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"/>
  <sheetViews>
    <sheetView zoomScaleNormal="100" workbookViewId="0">
      <selection activeCell="I61" sqref="I61"/>
    </sheetView>
  </sheetViews>
  <sheetFormatPr defaultColWidth="9.1796875" defaultRowHeight="14.5"/>
  <cols>
    <col min="1" max="1" width="3.54296875" style="20" customWidth="1"/>
    <col min="2" max="2" width="11.54296875" style="20" customWidth="1"/>
    <col min="3" max="3" width="8.7265625" style="20" customWidth="1"/>
    <col min="4" max="13" width="9.26953125" style="20" bestFit="1" customWidth="1"/>
    <col min="14" max="14" width="26.54296875" style="22" customWidth="1"/>
    <col min="15" max="16384" width="9.1796875" style="20"/>
  </cols>
  <sheetData>
    <row r="1" spans="1:54" ht="15" thickBot="1">
      <c r="A1" s="26"/>
      <c r="B1" s="92" t="s">
        <v>45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27"/>
    </row>
    <row r="2" spans="1:54">
      <c r="A2" s="26"/>
      <c r="B2" s="94" t="s">
        <v>44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  <c r="N2" s="27"/>
    </row>
    <row r="3" spans="1:54">
      <c r="A3" s="26"/>
      <c r="B3" s="28"/>
      <c r="C3" s="29">
        <v>0</v>
      </c>
      <c r="D3" s="29">
        <v>10</v>
      </c>
      <c r="E3" s="29">
        <v>20</v>
      </c>
      <c r="F3" s="29">
        <v>30</v>
      </c>
      <c r="G3" s="29">
        <v>40</v>
      </c>
      <c r="H3" s="29">
        <v>50</v>
      </c>
      <c r="I3" s="29">
        <v>60</v>
      </c>
      <c r="J3" s="29">
        <v>70</v>
      </c>
      <c r="K3" s="29">
        <v>80</v>
      </c>
      <c r="L3" s="29">
        <v>90</v>
      </c>
      <c r="M3" s="30">
        <v>100</v>
      </c>
      <c r="N3" s="27"/>
    </row>
    <row r="4" spans="1:54">
      <c r="A4" s="26"/>
      <c r="B4" s="31" t="s">
        <v>14</v>
      </c>
      <c r="C4" s="62">
        <f>'Raw Data'!E5</f>
        <v>0.25768157149231585</v>
      </c>
      <c r="D4" s="62">
        <f>'Raw Data'!F5</f>
        <v>0.30233399348647</v>
      </c>
      <c r="E4" s="62">
        <f>'Raw Data'!G5</f>
        <v>0.30667109689426708</v>
      </c>
      <c r="F4" s="62">
        <f>'Raw Data'!H5</f>
        <v>0.30727736351528423</v>
      </c>
      <c r="G4" s="62">
        <f>'Raw Data'!I5</f>
        <v>0.30786200822591764</v>
      </c>
      <c r="H4" s="62">
        <f>'Raw Data'!J5</f>
        <v>0.30822694481723184</v>
      </c>
      <c r="I4" s="62">
        <f>'Raw Data'!K5</f>
        <v>0.30849409394323335</v>
      </c>
      <c r="J4" s="62">
        <f>'Raw Data'!L5</f>
        <v>0.30900149090760548</v>
      </c>
      <c r="K4" s="62">
        <f>'Raw Data'!M5</f>
        <v>0.30988467292472427</v>
      </c>
      <c r="L4" s="62">
        <f>'Raw Data'!N5</f>
        <v>0.3110567421790239</v>
      </c>
      <c r="M4" s="61">
        <f>'Raw Data'!O5</f>
        <v>0.31220602738691444</v>
      </c>
      <c r="N4" s="27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</row>
    <row r="5" spans="1:54">
      <c r="A5" s="26"/>
      <c r="B5" s="31" t="s">
        <v>15</v>
      </c>
      <c r="C5" s="62">
        <f>'Raw Data'!E6</f>
        <v>0.26139999515740175</v>
      </c>
      <c r="D5" s="62">
        <f>'Raw Data'!F6</f>
        <v>0.32486348716001434</v>
      </c>
      <c r="E5" s="62">
        <f>'Raw Data'!G6</f>
        <v>0.33098091074696684</v>
      </c>
      <c r="F5" s="62">
        <f>'Raw Data'!H6</f>
        <v>0.33182600672912899</v>
      </c>
      <c r="G5" s="62">
        <f>'Raw Data'!I6</f>
        <v>0.33205059326989422</v>
      </c>
      <c r="H5" s="62">
        <f>'Raw Data'!J6</f>
        <v>0.33216513143708881</v>
      </c>
      <c r="I5" s="62">
        <f>'Raw Data'!K6</f>
        <v>0.33288426701832297</v>
      </c>
      <c r="J5" s="62">
        <f>'Raw Data'!L6</f>
        <v>0.33344649818745292</v>
      </c>
      <c r="K5" s="62">
        <f>'Raw Data'!M6</f>
        <v>0.33406769301194583</v>
      </c>
      <c r="L5" s="62">
        <f>'Raw Data'!N6</f>
        <v>0.33532192502454117</v>
      </c>
      <c r="M5" s="61">
        <f>'Raw Data'!O6</f>
        <v>0.33665801273453316</v>
      </c>
      <c r="N5" s="27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</row>
    <row r="6" spans="1:54">
      <c r="A6" s="26"/>
      <c r="B6" s="31" t="s">
        <v>3</v>
      </c>
      <c r="C6" s="64">
        <f>'Raw Data'!E7</f>
        <v>7.5570999999999999E-2</v>
      </c>
      <c r="D6" s="64">
        <f>'Raw Data'!F7</f>
        <v>0.75800299999999998</v>
      </c>
      <c r="E6" s="64">
        <f>'Raw Data'!G7</f>
        <v>3.2782610000000001</v>
      </c>
      <c r="F6" s="64">
        <f>'Raw Data'!H7</f>
        <v>7.6822980000000003</v>
      </c>
      <c r="G6" s="64">
        <f>'Raw Data'!I7</f>
        <v>13.756703999999999</v>
      </c>
      <c r="H6" s="64">
        <f>'Raw Data'!J7</f>
        <v>23.279671</v>
      </c>
      <c r="I6" s="64">
        <f>'Raw Data'!K7</f>
        <v>36.223925000000001</v>
      </c>
      <c r="J6" s="64">
        <f>'Raw Data'!L7</f>
        <v>52.682443999999997</v>
      </c>
      <c r="K6" s="64">
        <f>'Raw Data'!M7</f>
        <v>71.781187000000003</v>
      </c>
      <c r="L6" s="64">
        <f>'Raw Data'!N7</f>
        <v>95.838181000000006</v>
      </c>
      <c r="M6" s="60">
        <f>'Raw Data'!O7</f>
        <v>120.105847</v>
      </c>
      <c r="N6" s="27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</row>
    <row r="7" spans="1:54">
      <c r="A7" s="26"/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  <c r="N7" s="27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54">
      <c r="A8" s="26"/>
      <c r="B8" s="28"/>
      <c r="C8" s="29" t="s">
        <v>16</v>
      </c>
      <c r="D8" s="29" t="s">
        <v>0</v>
      </c>
      <c r="E8" s="29" t="s">
        <v>1</v>
      </c>
      <c r="F8" s="29" t="s">
        <v>2</v>
      </c>
      <c r="G8" s="29" t="s">
        <v>17</v>
      </c>
      <c r="H8" s="29" t="s">
        <v>18</v>
      </c>
      <c r="I8" s="29" t="s">
        <v>19</v>
      </c>
      <c r="J8" s="35" t="s">
        <v>35</v>
      </c>
      <c r="K8" s="33"/>
      <c r="L8" s="33"/>
      <c r="M8" s="34"/>
      <c r="N8" s="27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54">
      <c r="A9" s="26"/>
      <c r="B9" s="31" t="s">
        <v>14</v>
      </c>
      <c r="C9" s="62">
        <f>'Raw Data'!O5</f>
        <v>0.31220602738691444</v>
      </c>
      <c r="D9" s="62">
        <f>'Raw Data'!B5</f>
        <v>0.65153380687927265</v>
      </c>
      <c r="E9" s="62">
        <f>'Raw Data'!C5</f>
        <v>0.30114821850129464</v>
      </c>
      <c r="F9" s="62">
        <f>'Raw Data'!D5</f>
        <v>0.1527344089819925</v>
      </c>
      <c r="G9" s="62"/>
      <c r="H9" s="62"/>
      <c r="I9" s="62"/>
      <c r="J9" s="62">
        <f>'Raw Data'!E5</f>
        <v>0.25768157149231585</v>
      </c>
      <c r="K9" s="33"/>
      <c r="L9" s="33"/>
      <c r="M9" s="34"/>
      <c r="N9" s="2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spans="1:54">
      <c r="A10" s="26"/>
      <c r="B10" s="31" t="s">
        <v>15</v>
      </c>
      <c r="C10" s="62">
        <f>'Raw Data'!O6</f>
        <v>0.33665801273453316</v>
      </c>
      <c r="D10" s="62">
        <f>'Raw Data'!B6</f>
        <v>0.32186302916359733</v>
      </c>
      <c r="E10" s="62">
        <f>'Raw Data'!C6</f>
        <v>0.65552588061253847</v>
      </c>
      <c r="F10" s="62">
        <f>'Raw Data'!D6</f>
        <v>6.3717057698546228E-2</v>
      </c>
      <c r="G10" s="62"/>
      <c r="H10" s="62"/>
      <c r="I10" s="62"/>
      <c r="J10" s="62">
        <f>'Raw Data'!E6</f>
        <v>0.26139999515740175</v>
      </c>
      <c r="K10" s="97" t="s">
        <v>43</v>
      </c>
      <c r="L10" s="98"/>
      <c r="M10" s="99"/>
      <c r="N10" s="27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spans="1:54" ht="15" thickBot="1">
      <c r="A11" s="26"/>
      <c r="B11" s="36" t="s">
        <v>3</v>
      </c>
      <c r="C11" s="67">
        <f>'Raw Data'!O7</f>
        <v>120.105847</v>
      </c>
      <c r="D11" s="67">
        <f>'Raw Data'!B7</f>
        <v>24.069393999999999</v>
      </c>
      <c r="E11" s="67">
        <f>'Raw Data'!C7</f>
        <v>86.215164999999999</v>
      </c>
      <c r="F11" s="67">
        <f>'Raw Data'!D7</f>
        <v>9.5501719999999999</v>
      </c>
      <c r="G11" s="67"/>
      <c r="H11" s="67"/>
      <c r="I11" s="67"/>
      <c r="J11" s="67">
        <f>'Raw Data'!E7</f>
        <v>7.5570999999999999E-2</v>
      </c>
      <c r="K11" s="65"/>
      <c r="L11" s="78">
        <f>M6/C6</f>
        <v>1589.3113363591854</v>
      </c>
      <c r="M11" s="77"/>
      <c r="N11" s="27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spans="1:54">
      <c r="A12" s="26"/>
      <c r="B12" s="37"/>
      <c r="C12" s="37"/>
      <c r="D12" s="37"/>
      <c r="E12" s="37"/>
      <c r="F12" s="37"/>
      <c r="G12" s="37"/>
      <c r="H12" s="37"/>
      <c r="I12" s="37"/>
      <c r="J12" s="37"/>
      <c r="K12" s="33"/>
      <c r="L12" s="33"/>
      <c r="M12" s="33"/>
      <c r="N12" s="27"/>
      <c r="O12" s="21"/>
      <c r="P12" s="21"/>
      <c r="Q12" s="21"/>
      <c r="R12" s="21"/>
      <c r="S12" s="21"/>
      <c r="T12" s="21"/>
      <c r="U12" s="21"/>
      <c r="V12" s="21"/>
    </row>
    <row r="13" spans="1:54" hidden="1">
      <c r="A13" s="33"/>
      <c r="B13" s="37" t="s">
        <v>6</v>
      </c>
      <c r="C13" s="37">
        <f t="shared" ref="C13:M13" si="0">(C4-0.3366)/(C5-0.1735)</f>
        <v>-0.89782062406676588</v>
      </c>
      <c r="D13" s="37">
        <f t="shared" si="0"/>
        <v>-0.22638224816600322</v>
      </c>
      <c r="E13" s="37">
        <f t="shared" si="0"/>
        <v>-0.19004781572429008</v>
      </c>
      <c r="F13" s="37">
        <f t="shared" si="0"/>
        <v>-0.18520416885699784</v>
      </c>
      <c r="G13" s="37">
        <f t="shared" si="0"/>
        <v>-0.1812543944579435</v>
      </c>
      <c r="H13" s="37">
        <f t="shared" si="0"/>
        <v>-0.17882350662545013</v>
      </c>
      <c r="I13" s="37">
        <f t="shared" si="0"/>
        <v>-0.17634052960531907</v>
      </c>
      <c r="J13" s="37">
        <f t="shared" si="0"/>
        <v>-0.17254837964661052</v>
      </c>
      <c r="K13" s="37">
        <f t="shared" si="0"/>
        <v>-0.16638046280759719</v>
      </c>
      <c r="L13" s="37">
        <f t="shared" si="0"/>
        <v>-0.1578479419096166</v>
      </c>
      <c r="M13" s="37">
        <f t="shared" si="0"/>
        <v>-0.14951133691960239</v>
      </c>
      <c r="N13" s="38"/>
      <c r="O13" s="21"/>
      <c r="P13" s="21"/>
      <c r="Q13" s="21"/>
      <c r="R13" s="21"/>
      <c r="S13" s="21"/>
      <c r="T13" s="21"/>
      <c r="U13" s="21"/>
      <c r="V13" s="21"/>
    </row>
    <row r="14" spans="1:54">
      <c r="A14" s="68"/>
      <c r="B14" s="68" t="s">
        <v>7</v>
      </c>
      <c r="C14" s="73">
        <f>-949.86315+6253.80338*EXP(-C13/0.92159)+28.70599*EXP(-C13/0.20039)+0.00004*EXP(-C13/0.07125)</f>
        <v>18162.560127737772</v>
      </c>
      <c r="D14" s="73">
        <f t="shared" ref="D14:M14" si="1">-949.86315+6253.80338*EXP(-D13/0.92159)+28.70599*EXP(-D13/0.20039)+0.00004*EXP(-D13/0.07125)</f>
        <v>7134.1084855519111</v>
      </c>
      <c r="E14" s="73">
        <f t="shared" si="1"/>
        <v>6810.2944104844692</v>
      </c>
      <c r="F14" s="73">
        <f t="shared" si="1"/>
        <v>6768.2346304126822</v>
      </c>
      <c r="G14" s="73">
        <f t="shared" si="1"/>
        <v>6734.1245011127012</v>
      </c>
      <c r="H14" s="73">
        <f t="shared" si="1"/>
        <v>6713.2147166858649</v>
      </c>
      <c r="I14" s="73">
        <f t="shared" si="1"/>
        <v>6691.9220586660467</v>
      </c>
      <c r="J14" s="73">
        <f t="shared" si="1"/>
        <v>6659.5291423563995</v>
      </c>
      <c r="K14" s="73">
        <f t="shared" si="1"/>
        <v>6607.1664469017533</v>
      </c>
      <c r="L14" s="73">
        <f t="shared" si="1"/>
        <v>6535.3845322837906</v>
      </c>
      <c r="M14" s="73">
        <f t="shared" si="1"/>
        <v>6465.975891552127</v>
      </c>
      <c r="N14" s="70" t="str">
        <f>"White point: "&amp;TEXT(M14,"00 K")</f>
        <v>White point: 6466 K</v>
      </c>
      <c r="P14" s="1"/>
      <c r="Q14" s="1"/>
      <c r="R14" s="1"/>
      <c r="S14" s="1"/>
      <c r="T14" s="1"/>
    </row>
    <row r="15" spans="1:54">
      <c r="A15" s="68"/>
      <c r="B15" s="74" t="s">
        <v>36</v>
      </c>
      <c r="C15" s="74">
        <f>((C3/100)^$B$16)*($M$6-$C$6)+$C$6</f>
        <v>7.5570999999999999E-2</v>
      </c>
      <c r="D15" s="74">
        <f t="shared" ref="D15:M15" si="2">((D3/100)^$B$16)*($M$6-$C$6)+$C$6</f>
        <v>0.68585569199064422</v>
      </c>
      <c r="E15" s="74">
        <f t="shared" si="2"/>
        <v>3.0679909131740901</v>
      </c>
      <c r="F15" s="74">
        <f t="shared" si="2"/>
        <v>7.6601822885571265</v>
      </c>
      <c r="G15" s="74">
        <f t="shared" si="2"/>
        <v>14.74835741309604</v>
      </c>
      <c r="H15" s="74">
        <f t="shared" si="2"/>
        <v>24.554969661838275</v>
      </c>
      <c r="I15" s="74">
        <f t="shared" si="2"/>
        <v>37.265332026991778</v>
      </c>
      <c r="J15" s="74">
        <f t="shared" si="2"/>
        <v>53.039859673595565</v>
      </c>
      <c r="K15" s="74">
        <f t="shared" si="2"/>
        <v>72.020908676882001</v>
      </c>
      <c r="L15" s="74">
        <f t="shared" si="2"/>
        <v>94.337034794654926</v>
      </c>
      <c r="M15" s="74">
        <f t="shared" si="2"/>
        <v>120.105847</v>
      </c>
      <c r="N15" s="75" t="str">
        <f>"Reference gamma = "&amp;TEXT(B16,"0.00")</f>
        <v>Reference gamma = 2.29</v>
      </c>
      <c r="P15" s="1"/>
      <c r="Q15" s="1"/>
      <c r="R15" s="1"/>
      <c r="S15" s="1"/>
      <c r="T15" s="1"/>
    </row>
    <row r="16" spans="1:54" s="63" customFormat="1">
      <c r="A16" s="33"/>
      <c r="B16" s="59">
        <f>AVERAGE(D16:L16)</f>
        <v>2.2937583282101084</v>
      </c>
      <c r="C16" s="33"/>
      <c r="D16" s="33">
        <f>(LOG10(D6-$C$6)-LOG10($M6-$C6))/LOG10(D3/100)</f>
        <v>2.2452314215340681</v>
      </c>
      <c r="E16" s="33">
        <f t="shared" ref="E16:L16" si="3">(LOG10(E6-$C$6)-LOG10($M6-$C6))/LOG10(E3/100)</f>
        <v>2.2515642891752496</v>
      </c>
      <c r="F16" s="33">
        <f t="shared" si="3"/>
        <v>2.2913399818287297</v>
      </c>
      <c r="G16" s="33">
        <f t="shared" si="3"/>
        <v>2.3701279572210199</v>
      </c>
      <c r="H16" s="33">
        <f t="shared" si="3"/>
        <v>2.3709467049059163</v>
      </c>
      <c r="I16" s="33">
        <f t="shared" si="3"/>
        <v>2.3493586461998714</v>
      </c>
      <c r="J16" s="33">
        <f t="shared" si="3"/>
        <v>2.3127423116509278</v>
      </c>
      <c r="K16" s="33">
        <f t="shared" si="3"/>
        <v>2.3087153405400183</v>
      </c>
      <c r="L16" s="33">
        <f t="shared" si="3"/>
        <v>2.1437983008351753</v>
      </c>
      <c r="M16" s="33">
        <v>1</v>
      </c>
      <c r="N16" s="38"/>
      <c r="P16" s="1"/>
      <c r="Q16" s="1"/>
      <c r="R16" s="1"/>
      <c r="S16" s="1"/>
      <c r="T16" s="1"/>
    </row>
    <row r="17" spans="1:21" hidden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8"/>
      <c r="P17" s="1"/>
      <c r="Q17" s="1"/>
      <c r="R17" s="1"/>
      <c r="S17" s="1"/>
      <c r="T17" s="1"/>
    </row>
    <row r="18" spans="1:21" hidden="1">
      <c r="A18" s="39"/>
      <c r="B18" s="39" t="s">
        <v>34</v>
      </c>
      <c r="C18" s="39">
        <f>0.5*ABS(E9*D10-D9*E10+D9*F10-F9*D10+F9*E10-E9*F10)</f>
        <v>0.12844072875130408</v>
      </c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8"/>
      <c r="P18" s="1"/>
      <c r="Q18" s="5"/>
      <c r="R18" s="5"/>
      <c r="S18" s="5"/>
      <c r="T18" s="1"/>
      <c r="U18" s="45"/>
    </row>
    <row r="19" spans="1:21" ht="14.25" hidden="1" customHeight="1">
      <c r="A19" s="40"/>
      <c r="B19" s="47" t="s">
        <v>23</v>
      </c>
      <c r="C19" s="41">
        <f>C18/C24</f>
        <v>0.60623425011176424</v>
      </c>
      <c r="D19" s="40"/>
      <c r="E19" s="40"/>
      <c r="F19" s="40"/>
      <c r="G19" s="40"/>
      <c r="H19" s="40"/>
      <c r="I19" s="40"/>
      <c r="J19" s="39"/>
      <c r="K19" s="33"/>
      <c r="L19" s="33"/>
      <c r="M19" s="33"/>
      <c r="N19" s="38" t="str">
        <f>"This panel: "&amp;TEXT(C19,"00.0%")&amp;","&amp;TEXT(C22,"00.0%")&amp;","&amp;TEXT(C20,"00.0%")&amp;","&amp;TEXT(C21,"00.0%")</f>
        <v>This panel: 60.6%,81.2%,84.5%,114.6%</v>
      </c>
      <c r="O19" s="1"/>
      <c r="P19" s="5"/>
      <c r="Q19" s="5"/>
      <c r="R19" s="5"/>
      <c r="S19" s="5"/>
      <c r="T19" s="1"/>
      <c r="U19" s="45"/>
    </row>
    <row r="20" spans="1:21" ht="14.25" hidden="1" customHeight="1">
      <c r="A20" s="40"/>
      <c r="B20" s="46" t="s">
        <v>22</v>
      </c>
      <c r="C20" s="41">
        <f>C18/C25</f>
        <v>0.84500479441647403</v>
      </c>
      <c r="D20" s="40"/>
      <c r="E20" s="40"/>
      <c r="F20" s="40"/>
      <c r="G20" s="40"/>
      <c r="H20" s="40"/>
      <c r="I20" s="40"/>
      <c r="J20" s="39"/>
      <c r="K20" s="33"/>
      <c r="L20" s="33"/>
      <c r="M20" s="33"/>
      <c r="N20" s="38"/>
      <c r="O20" s="1"/>
      <c r="P20" s="5"/>
      <c r="Q20" s="5"/>
      <c r="R20" s="5"/>
      <c r="S20" s="1"/>
      <c r="T20" s="1"/>
    </row>
    <row r="21" spans="1:21" ht="14.25" hidden="1" customHeight="1">
      <c r="A21" s="40"/>
      <c r="B21" s="48" t="s">
        <v>24</v>
      </c>
      <c r="C21" s="41">
        <f>C18/C26</f>
        <v>1.1462804886327895</v>
      </c>
      <c r="D21" s="40"/>
      <c r="E21" s="40"/>
      <c r="F21" s="40"/>
      <c r="G21" s="40"/>
      <c r="H21" s="40"/>
      <c r="I21" s="40"/>
      <c r="J21" s="39"/>
      <c r="K21" s="42"/>
      <c r="L21" s="42"/>
      <c r="M21" s="42"/>
      <c r="N21" s="38"/>
      <c r="O21" s="1"/>
      <c r="P21" s="5"/>
      <c r="Q21" s="5"/>
      <c r="R21" s="5"/>
      <c r="S21" s="1"/>
      <c r="T21" s="1"/>
    </row>
    <row r="22" spans="1:21" ht="15" hidden="1" customHeight="1">
      <c r="A22" s="40"/>
      <c r="B22" s="46" t="s">
        <v>21</v>
      </c>
      <c r="C22" s="41">
        <f>C18/C27</f>
        <v>0.81188829804869833</v>
      </c>
      <c r="D22" s="40"/>
      <c r="E22" s="40"/>
      <c r="F22" s="40"/>
      <c r="G22" s="40"/>
      <c r="H22" s="40"/>
      <c r="I22" s="40"/>
      <c r="J22" s="39"/>
      <c r="K22" s="42"/>
      <c r="L22" s="42"/>
      <c r="M22" s="42"/>
      <c r="N22" s="43"/>
      <c r="O22" s="1"/>
      <c r="P22" s="1"/>
      <c r="Q22" s="1"/>
      <c r="R22" s="1"/>
      <c r="S22" s="1"/>
      <c r="T22" s="1"/>
    </row>
    <row r="23" spans="1:21" hidden="1">
      <c r="A23" s="40"/>
      <c r="B23" s="40"/>
      <c r="C23" s="40"/>
      <c r="D23" s="40"/>
      <c r="E23" s="40"/>
      <c r="F23" s="40"/>
      <c r="G23" s="40"/>
      <c r="H23" s="40"/>
      <c r="I23" s="40"/>
      <c r="J23" s="39"/>
      <c r="K23" s="42"/>
      <c r="L23" s="42"/>
      <c r="M23" s="42"/>
      <c r="N23" s="43"/>
      <c r="O23" s="1"/>
      <c r="P23" s="1"/>
      <c r="Q23" s="1"/>
      <c r="R23" s="1"/>
      <c r="S23" s="1"/>
      <c r="T23" s="1"/>
    </row>
    <row r="24" spans="1:21" hidden="1">
      <c r="A24" s="26"/>
      <c r="B24" s="47" t="s">
        <v>30</v>
      </c>
      <c r="C24" s="26">
        <v>0.21186649999999999</v>
      </c>
      <c r="D24" s="26"/>
      <c r="E24" s="26"/>
      <c r="F24" s="26"/>
      <c r="G24" s="26"/>
      <c r="H24" s="26"/>
      <c r="I24" s="26"/>
      <c r="J24" s="33"/>
      <c r="K24" s="33"/>
      <c r="L24" s="33"/>
      <c r="M24" s="33"/>
      <c r="N24" s="38"/>
      <c r="O24" s="1"/>
      <c r="P24" s="1"/>
      <c r="Q24" s="1"/>
      <c r="R24" s="1"/>
      <c r="S24" s="1"/>
      <c r="T24" s="1"/>
    </row>
    <row r="25" spans="1:21" hidden="1">
      <c r="A25" s="40"/>
      <c r="B25" s="46" t="s">
        <v>31</v>
      </c>
      <c r="C25" s="40">
        <v>0.15200000000000002</v>
      </c>
      <c r="D25" s="40"/>
      <c r="E25" s="40"/>
      <c r="F25" s="40"/>
      <c r="G25" s="40"/>
      <c r="H25" s="26"/>
      <c r="I25" s="26"/>
      <c r="J25" s="33"/>
      <c r="K25" s="42"/>
      <c r="L25" s="42"/>
      <c r="M25" s="42"/>
      <c r="N25" s="43"/>
      <c r="O25" s="5"/>
      <c r="P25" s="5"/>
      <c r="Q25" s="5"/>
      <c r="R25" s="5"/>
      <c r="S25" s="5"/>
      <c r="T25" s="1"/>
    </row>
    <row r="26" spans="1:21" hidden="1">
      <c r="A26" s="40"/>
      <c r="B26" s="48" t="s">
        <v>32</v>
      </c>
      <c r="C26" s="40">
        <v>0.11205000000000001</v>
      </c>
      <c r="D26" s="40"/>
      <c r="E26" s="40"/>
      <c r="F26" s="33"/>
      <c r="G26" s="42"/>
      <c r="H26" s="42"/>
      <c r="I26" s="26"/>
      <c r="J26" s="33"/>
      <c r="K26" s="42"/>
      <c r="L26" s="42"/>
      <c r="M26" s="42"/>
      <c r="N26" s="43"/>
      <c r="O26" s="5"/>
      <c r="P26" s="1"/>
      <c r="Q26" s="5"/>
      <c r="R26" s="5"/>
      <c r="S26" s="5"/>
      <c r="T26" s="1"/>
    </row>
    <row r="27" spans="1:21" hidden="1">
      <c r="A27" s="40"/>
      <c r="B27" s="46" t="s">
        <v>33</v>
      </c>
      <c r="C27" s="40">
        <v>0.15820000000000001</v>
      </c>
      <c r="D27" s="40"/>
      <c r="E27" s="40"/>
      <c r="F27" s="33"/>
      <c r="G27" s="33"/>
      <c r="H27" s="33"/>
      <c r="I27" s="26"/>
      <c r="J27" s="33"/>
      <c r="K27" s="42"/>
      <c r="L27" s="42"/>
      <c r="M27" s="33"/>
      <c r="N27" s="38"/>
      <c r="O27" s="1"/>
      <c r="P27" s="1"/>
      <c r="Q27" s="1"/>
      <c r="R27" s="1"/>
      <c r="S27" s="1"/>
      <c r="T27" s="1"/>
    </row>
    <row r="28" spans="1:21">
      <c r="A28" s="21"/>
      <c r="B28" s="21"/>
      <c r="C28" s="21"/>
      <c r="D28" s="21"/>
      <c r="E28" s="21"/>
      <c r="F28" s="21"/>
      <c r="G28" s="21"/>
      <c r="K28" s="5"/>
      <c r="L28" s="5"/>
      <c r="M28" s="1"/>
      <c r="N28" s="23"/>
      <c r="O28" s="1"/>
      <c r="P28" s="1"/>
      <c r="Q28" s="1"/>
      <c r="R28" s="1"/>
      <c r="S28" s="1"/>
      <c r="T28" s="1"/>
    </row>
    <row r="29" spans="1:21" s="1" customFormat="1">
      <c r="A29" s="68"/>
      <c r="B29" s="68"/>
      <c r="C29" s="68" t="s">
        <v>16</v>
      </c>
      <c r="D29" s="68" t="s">
        <v>0</v>
      </c>
      <c r="E29" s="68" t="s">
        <v>1</v>
      </c>
      <c r="F29" s="68" t="s">
        <v>2</v>
      </c>
      <c r="G29" s="68" t="s">
        <v>17</v>
      </c>
      <c r="H29" s="68" t="s">
        <v>18</v>
      </c>
      <c r="I29" s="68" t="s">
        <v>19</v>
      </c>
      <c r="J29" s="69" t="s">
        <v>35</v>
      </c>
      <c r="K29" s="68"/>
      <c r="L29" s="68"/>
      <c r="M29" s="68"/>
      <c r="N29" s="70"/>
    </row>
    <row r="30" spans="1:21" s="1" customFormat="1" ht="14.25" customHeight="1">
      <c r="A30" s="68"/>
      <c r="B30" s="71" t="s">
        <v>25</v>
      </c>
      <c r="C30" s="72">
        <f>4*C9/(-2*C9+12*C10+3)</f>
        <v>0.1946578138864184</v>
      </c>
      <c r="D30" s="72">
        <f t="shared" ref="D30:J30" si="4">4*D9/(-2*D9+12*D10+3)</f>
        <v>0.4687893274088733</v>
      </c>
      <c r="E30" s="72">
        <f t="shared" si="4"/>
        <v>0.11736079653705153</v>
      </c>
      <c r="F30" s="72">
        <f t="shared" si="4"/>
        <v>0.17661568036284775</v>
      </c>
      <c r="G30" s="72">
        <f t="shared" si="4"/>
        <v>0</v>
      </c>
      <c r="H30" s="72">
        <f t="shared" si="4"/>
        <v>0</v>
      </c>
      <c r="I30" s="72">
        <f t="shared" si="4"/>
        <v>0</v>
      </c>
      <c r="J30" s="72">
        <f t="shared" si="4"/>
        <v>0.18335637717570485</v>
      </c>
      <c r="K30" s="68"/>
      <c r="L30" s="68"/>
      <c r="M30" s="68"/>
      <c r="N30" s="70"/>
    </row>
    <row r="31" spans="1:21" s="1" customFormat="1" ht="13.5" customHeight="1">
      <c r="A31" s="68"/>
      <c r="B31" s="71" t="s">
        <v>26</v>
      </c>
      <c r="C31" s="72">
        <f>9*C10/(-2*C9+12*C10+3)</f>
        <v>0.47228269422976266</v>
      </c>
      <c r="D31" s="72">
        <f t="shared" ref="D31:J31" si="5">9*D10/(-2*D9+12*D10+3)</f>
        <v>0.52106796389388932</v>
      </c>
      <c r="E31" s="72">
        <f t="shared" si="5"/>
        <v>0.57479781794814133</v>
      </c>
      <c r="F31" s="72">
        <f t="shared" si="5"/>
        <v>0.16577941431205132</v>
      </c>
      <c r="G31" s="72">
        <f t="shared" si="5"/>
        <v>0</v>
      </c>
      <c r="H31" s="72">
        <f t="shared" si="5"/>
        <v>0</v>
      </c>
      <c r="I31" s="72">
        <f t="shared" si="5"/>
        <v>0</v>
      </c>
      <c r="J31" s="72">
        <f t="shared" si="5"/>
        <v>0.41850509764251342</v>
      </c>
      <c r="K31" s="68"/>
      <c r="L31" s="68"/>
      <c r="M31" s="68"/>
      <c r="N31" s="70"/>
    </row>
    <row r="32" spans="1:21" s="1" customFormat="1" hidden="1">
      <c r="A32" s="33"/>
      <c r="B32" s="37"/>
      <c r="C32" s="37"/>
      <c r="D32" s="37"/>
      <c r="E32" s="37"/>
      <c r="F32" s="37"/>
      <c r="G32" s="37"/>
      <c r="H32" s="37"/>
      <c r="I32" s="37"/>
      <c r="J32" s="37"/>
      <c r="K32" s="33"/>
      <c r="L32" s="33"/>
      <c r="M32" s="33"/>
      <c r="N32" s="38"/>
    </row>
    <row r="33" spans="1:14" hidden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3"/>
      <c r="L33" s="33"/>
      <c r="M33" s="33"/>
      <c r="N33" s="38"/>
    </row>
    <row r="34" spans="1:14" hidden="1">
      <c r="A34" s="39"/>
      <c r="B34" s="39" t="s">
        <v>29</v>
      </c>
      <c r="C34" s="39">
        <f>0.5*ABS(E30*D31-D30*E31+D30*F31-F30*D31+F30*E31-E30*F31)</f>
        <v>7.0278490214703629E-2</v>
      </c>
      <c r="D34" s="39"/>
      <c r="E34" s="39"/>
      <c r="F34" s="39"/>
      <c r="G34" s="39"/>
      <c r="H34" s="39"/>
      <c r="I34" s="39"/>
      <c r="J34" s="39"/>
      <c r="K34" s="33"/>
      <c r="L34" s="33"/>
      <c r="M34" s="33"/>
      <c r="N34" s="38"/>
    </row>
    <row r="35" spans="1:14" ht="15" hidden="1" customHeight="1">
      <c r="A35" s="40"/>
      <c r="B35" s="47" t="s">
        <v>23</v>
      </c>
      <c r="C35" s="41">
        <f>C34/C40</f>
        <v>0.62848181674458736</v>
      </c>
      <c r="D35" s="40"/>
      <c r="E35" s="40"/>
      <c r="F35" s="40"/>
      <c r="G35" s="40"/>
      <c r="H35" s="40"/>
      <c r="I35" s="40"/>
      <c r="J35" s="39"/>
      <c r="K35" s="33"/>
      <c r="L35" s="33"/>
      <c r="M35" s="33"/>
      <c r="N35" s="38" t="str">
        <f>"This panel: "&amp;TEXT(C35,"00.0%")&amp;","&amp;TEXT(C38,"00.0%")&amp;","&amp;TEXT(C36,"00.0%")&amp;","&amp;TEXT(C37,"00.0%")</f>
        <v>This panel: 62.8%,94.4%,86.3%,108.3%</v>
      </c>
    </row>
    <row r="36" spans="1:14" hidden="1">
      <c r="A36" s="40"/>
      <c r="B36" s="46" t="s">
        <v>22</v>
      </c>
      <c r="C36" s="41">
        <f>C34/C41</f>
        <v>0.86252205386420633</v>
      </c>
      <c r="D36" s="40"/>
      <c r="E36" s="40"/>
      <c r="F36" s="40"/>
      <c r="G36" s="40"/>
      <c r="H36" s="40"/>
      <c r="I36" s="40"/>
      <c r="J36" s="39"/>
      <c r="K36" s="33"/>
      <c r="L36" s="33"/>
      <c r="M36" s="33"/>
      <c r="N36" s="38"/>
    </row>
    <row r="37" spans="1:14" hidden="1">
      <c r="A37" s="40"/>
      <c r="B37" s="48" t="s">
        <v>24</v>
      </c>
      <c r="C37" s="41">
        <f>C34/C42</f>
        <v>1.0830100368008304</v>
      </c>
      <c r="D37" s="40"/>
      <c r="E37" s="40"/>
      <c r="F37" s="40"/>
      <c r="G37" s="40"/>
      <c r="H37" s="40"/>
      <c r="I37" s="40"/>
      <c r="J37" s="39"/>
      <c r="K37" s="42"/>
      <c r="L37" s="42"/>
      <c r="M37" s="42"/>
      <c r="N37" s="38"/>
    </row>
    <row r="38" spans="1:14" ht="15" hidden="1" customHeight="1">
      <c r="A38" s="40"/>
      <c r="B38" s="46" t="s">
        <v>21</v>
      </c>
      <c r="C38" s="41">
        <f>C34/C43</f>
        <v>0.94427676041760333</v>
      </c>
      <c r="D38" s="40"/>
      <c r="E38" s="40"/>
      <c r="F38" s="40"/>
      <c r="G38" s="40"/>
      <c r="H38" s="40"/>
      <c r="I38" s="40"/>
      <c r="J38" s="39"/>
      <c r="K38" s="42"/>
      <c r="L38" s="42"/>
      <c r="M38" s="42"/>
      <c r="N38" s="43"/>
    </row>
    <row r="39" spans="1:14" hidden="1">
      <c r="A39" s="40"/>
      <c r="B39" s="40"/>
      <c r="C39" s="40"/>
      <c r="D39" s="40"/>
      <c r="E39" s="40"/>
      <c r="F39" s="40"/>
      <c r="G39" s="40"/>
      <c r="H39" s="40"/>
      <c r="I39" s="40"/>
      <c r="J39" s="39"/>
      <c r="K39" s="42"/>
      <c r="L39" s="42"/>
      <c r="M39" s="42"/>
      <c r="N39" s="43"/>
    </row>
    <row r="40" spans="1:14" hidden="1">
      <c r="A40" s="26"/>
      <c r="B40" s="47" t="s">
        <v>30</v>
      </c>
      <c r="C40" s="26">
        <v>0.11182263088967703</v>
      </c>
      <c r="D40" s="26"/>
      <c r="E40" s="26"/>
      <c r="F40" s="26"/>
      <c r="G40" s="26"/>
      <c r="H40" s="26"/>
      <c r="I40" s="26"/>
      <c r="J40" s="33"/>
      <c r="K40" s="33"/>
      <c r="L40" s="33"/>
      <c r="M40" s="33"/>
      <c r="N40" s="38"/>
    </row>
    <row r="41" spans="1:14" hidden="1">
      <c r="A41" s="40"/>
      <c r="B41" s="46" t="s">
        <v>31</v>
      </c>
      <c r="C41" s="40">
        <v>8.1480224070616197E-2</v>
      </c>
      <c r="D41" s="40"/>
      <c r="E41" s="40"/>
      <c r="F41" s="40"/>
      <c r="G41" s="40"/>
      <c r="H41" s="26"/>
      <c r="I41" s="26"/>
      <c r="J41" s="33"/>
      <c r="K41" s="42"/>
      <c r="L41" s="42"/>
      <c r="M41" s="42"/>
      <c r="N41" s="43"/>
    </row>
    <row r="42" spans="1:14" hidden="1">
      <c r="A42" s="40"/>
      <c r="B42" s="48" t="s">
        <v>32</v>
      </c>
      <c r="C42" s="40">
        <v>6.4891818013343219E-2</v>
      </c>
      <c r="D42" s="40"/>
      <c r="E42" s="40"/>
      <c r="F42" s="33"/>
      <c r="G42" s="42"/>
      <c r="H42" s="42"/>
      <c r="I42" s="26"/>
      <c r="J42" s="33"/>
      <c r="K42" s="42"/>
      <c r="L42" s="42"/>
      <c r="M42" s="42"/>
      <c r="N42" s="43"/>
    </row>
    <row r="43" spans="1:14" hidden="1">
      <c r="A43" s="40"/>
      <c r="B43" s="46" t="s">
        <v>33</v>
      </c>
      <c r="C43" s="40">
        <v>7.4425733175539757E-2</v>
      </c>
      <c r="D43" s="40"/>
      <c r="E43" s="40"/>
      <c r="F43" s="33"/>
      <c r="G43" s="33"/>
      <c r="H43" s="33"/>
      <c r="I43" s="26"/>
      <c r="J43" s="33"/>
      <c r="K43" s="42"/>
      <c r="L43" s="42"/>
      <c r="M43" s="33"/>
      <c r="N43" s="38"/>
    </row>
    <row r="44" spans="1:14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6" spans="1:14">
      <c r="B46" s="86" t="s">
        <v>37</v>
      </c>
      <c r="C46" s="87">
        <f>C11</f>
        <v>120.105847</v>
      </c>
      <c r="D46" s="88"/>
      <c r="E46" s="88"/>
      <c r="F46" s="88"/>
      <c r="G46" s="88"/>
      <c r="H46" s="88"/>
      <c r="I46" s="88"/>
      <c r="J46" s="88"/>
    </row>
    <row r="47" spans="1:14" s="76" customFormat="1">
      <c r="B47" s="86" t="s">
        <v>42</v>
      </c>
      <c r="C47" s="89">
        <f>C6</f>
        <v>7.5570999999999999E-2</v>
      </c>
      <c r="D47" s="88"/>
      <c r="E47" s="88"/>
      <c r="F47" s="88"/>
      <c r="G47" s="88"/>
      <c r="H47" s="88"/>
      <c r="I47" s="88"/>
      <c r="J47" s="88"/>
      <c r="N47" s="22"/>
    </row>
    <row r="48" spans="1:14">
      <c r="B48" s="86" t="s">
        <v>41</v>
      </c>
      <c r="C48" s="90">
        <f>D9</f>
        <v>0.65153380687927265</v>
      </c>
      <c r="D48" s="90">
        <f>D10</f>
        <v>0.32186302916359733</v>
      </c>
      <c r="E48" s="90">
        <f>E9</f>
        <v>0.30114821850129464</v>
      </c>
      <c r="F48" s="90">
        <f>E10</f>
        <v>0.65552588061253847</v>
      </c>
      <c r="G48" s="90">
        <f>F9</f>
        <v>0.1527344089819925</v>
      </c>
      <c r="H48" s="90">
        <f>F10</f>
        <v>6.3717057698546228E-2</v>
      </c>
      <c r="I48" s="90">
        <f>C9</f>
        <v>0.31220602738691444</v>
      </c>
      <c r="J48" s="90">
        <f>C10</f>
        <v>0.33665801273453316</v>
      </c>
    </row>
    <row r="49" spans="2:10">
      <c r="B49" s="86" t="s">
        <v>40</v>
      </c>
      <c r="C49" s="91" t="str">
        <f>TEXT(B16,"0.00")</f>
        <v>2.29</v>
      </c>
      <c r="D49" s="88"/>
      <c r="E49" s="88"/>
      <c r="F49" s="88"/>
      <c r="G49" s="88"/>
      <c r="H49" s="88"/>
      <c r="I49" s="88"/>
      <c r="J49" s="88"/>
    </row>
  </sheetData>
  <mergeCells count="3">
    <mergeCell ref="B1:M1"/>
    <mergeCell ref="B2:M2"/>
    <mergeCell ref="K10:M10"/>
  </mergeCells>
  <phoneticPr fontId="8"/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zoomScaleNormal="100" workbookViewId="0">
      <selection activeCell="AD14" sqref="AD14"/>
    </sheetView>
  </sheetViews>
  <sheetFormatPr defaultColWidth="8.81640625" defaultRowHeight="14.5"/>
  <cols>
    <col min="1" max="1" width="3.26953125" customWidth="1"/>
  </cols>
  <sheetData/>
  <phoneticPr fontId="4" type="noConversion"/>
  <pageMargins left="1" right="0.25" top="0.5" bottom="0.5" header="0" footer="0"/>
  <pageSetup scale="65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0F2A-0F7A-41AD-B70E-DD2ED9D42F74}">
  <dimension ref="A1:P7"/>
  <sheetViews>
    <sheetView workbookViewId="0">
      <selection activeCell="O17" sqref="O17"/>
    </sheetView>
  </sheetViews>
  <sheetFormatPr defaultRowHeight="14.5"/>
  <cols>
    <col min="1" max="1" width="8.54296875" style="83" customWidth="1"/>
    <col min="2" max="16" width="8.54296875" style="84" customWidth="1"/>
  </cols>
  <sheetData>
    <row r="1" spans="1:16" s="66" customFormat="1">
      <c r="A1" s="79"/>
      <c r="B1" s="79" t="s">
        <v>0</v>
      </c>
      <c r="C1" s="79" t="s">
        <v>1</v>
      </c>
      <c r="D1" s="79" t="s">
        <v>2</v>
      </c>
      <c r="E1" s="79">
        <v>0</v>
      </c>
      <c r="F1" s="79">
        <v>10</v>
      </c>
      <c r="G1" s="79">
        <v>20</v>
      </c>
      <c r="H1" s="79">
        <v>30</v>
      </c>
      <c r="I1" s="79">
        <v>40</v>
      </c>
      <c r="J1" s="79">
        <v>50</v>
      </c>
      <c r="K1" s="79">
        <v>60</v>
      </c>
      <c r="L1" s="79">
        <v>70</v>
      </c>
      <c r="M1" s="79">
        <v>80</v>
      </c>
      <c r="N1" s="79">
        <v>90</v>
      </c>
      <c r="O1" s="79">
        <v>100</v>
      </c>
      <c r="P1" s="79"/>
    </row>
    <row r="2" spans="1:16">
      <c r="A2" s="79" t="s">
        <v>38</v>
      </c>
      <c r="B2" s="85">
        <v>48.722662999999997</v>
      </c>
      <c r="C2" s="85">
        <v>39.607197999999997</v>
      </c>
      <c r="D2" s="85">
        <v>22.892455000000002</v>
      </c>
      <c r="E2" s="85">
        <v>7.4496000000000007E-2</v>
      </c>
      <c r="F2" s="85">
        <v>0.70543500000000003</v>
      </c>
      <c r="G2" s="85">
        <v>3.03748</v>
      </c>
      <c r="H2" s="85">
        <v>7.1139580000000002</v>
      </c>
      <c r="I2" s="85">
        <v>12.754581999999999</v>
      </c>
      <c r="J2" s="85">
        <v>21.601972</v>
      </c>
      <c r="K2" s="85">
        <v>33.569825999999999</v>
      </c>
      <c r="L2" s="85">
        <v>48.820287</v>
      </c>
      <c r="M2" s="85">
        <v>66.584976999999995</v>
      </c>
      <c r="N2" s="85">
        <v>88.902962000000002</v>
      </c>
      <c r="O2" s="85">
        <v>111.38237599999999</v>
      </c>
      <c r="P2" s="80"/>
    </row>
    <row r="3" spans="1:16">
      <c r="A3" s="79" t="s">
        <v>3</v>
      </c>
      <c r="B3" s="85">
        <v>24.069393999999999</v>
      </c>
      <c r="C3" s="85">
        <v>86.215164999999999</v>
      </c>
      <c r="D3" s="85">
        <v>9.5501719999999999</v>
      </c>
      <c r="E3" s="85">
        <v>7.5570999999999999E-2</v>
      </c>
      <c r="F3" s="85">
        <v>0.75800299999999998</v>
      </c>
      <c r="G3" s="85">
        <v>3.2782610000000001</v>
      </c>
      <c r="H3" s="85">
        <v>7.6822980000000003</v>
      </c>
      <c r="I3" s="85">
        <v>13.756703999999999</v>
      </c>
      <c r="J3" s="85">
        <v>23.279671</v>
      </c>
      <c r="K3" s="85">
        <v>36.223925000000001</v>
      </c>
      <c r="L3" s="85">
        <v>52.682443999999997</v>
      </c>
      <c r="M3" s="85">
        <v>71.781187000000003</v>
      </c>
      <c r="N3" s="85">
        <v>95.838181000000006</v>
      </c>
      <c r="O3" s="85">
        <v>120.105847</v>
      </c>
      <c r="P3" s="80"/>
    </row>
    <row r="4" spans="1:16">
      <c r="A4" s="79" t="s">
        <v>39</v>
      </c>
      <c r="B4" s="85">
        <v>1.9894240000000001</v>
      </c>
      <c r="C4" s="85">
        <v>5.6982489999999997</v>
      </c>
      <c r="D4" s="85">
        <v>117.441444</v>
      </c>
      <c r="E4" s="85">
        <v>0.13903399999999999</v>
      </c>
      <c r="F4" s="85">
        <v>0.86985900000000005</v>
      </c>
      <c r="G4" s="85">
        <v>3.5889419999999999</v>
      </c>
      <c r="H4" s="85">
        <v>8.3553289999999993</v>
      </c>
      <c r="I4" s="85">
        <v>14.918256</v>
      </c>
      <c r="J4" s="85">
        <v>25.202988999999999</v>
      </c>
      <c r="K4" s="85">
        <v>39.024624000000003</v>
      </c>
      <c r="L4" s="85">
        <v>56.490963000000001</v>
      </c>
      <c r="M4" s="85">
        <v>76.504020999999995</v>
      </c>
      <c r="N4" s="85">
        <v>101.068325</v>
      </c>
      <c r="O4" s="85">
        <v>125.270988</v>
      </c>
      <c r="P4" s="80"/>
    </row>
    <row r="5" spans="1:16">
      <c r="A5" s="79" t="s">
        <v>4</v>
      </c>
      <c r="B5" s="81">
        <f>B2/SUM(B2:B4)</f>
        <v>0.65153380687927265</v>
      </c>
      <c r="C5" s="81">
        <f t="shared" ref="C5:O5" si="0">C2/SUM(C2:C4)</f>
        <v>0.30114821850129464</v>
      </c>
      <c r="D5" s="81">
        <f t="shared" si="0"/>
        <v>0.1527344089819925</v>
      </c>
      <c r="E5" s="81">
        <f>IF(SUM(E2:E4)=0,F5,E2/SUM(E2:E4))</f>
        <v>0.25768157149231585</v>
      </c>
      <c r="F5" s="81">
        <f>IF(SUM(F2:F4)=0,G5,F2/SUM(F2:F4))</f>
        <v>0.30233399348647</v>
      </c>
      <c r="G5" s="81">
        <f t="shared" si="0"/>
        <v>0.30667109689426708</v>
      </c>
      <c r="H5" s="81">
        <f t="shared" si="0"/>
        <v>0.30727736351528423</v>
      </c>
      <c r="I5" s="81">
        <f t="shared" si="0"/>
        <v>0.30786200822591764</v>
      </c>
      <c r="J5" s="81">
        <f t="shared" si="0"/>
        <v>0.30822694481723184</v>
      </c>
      <c r="K5" s="81">
        <f t="shared" si="0"/>
        <v>0.30849409394323335</v>
      </c>
      <c r="L5" s="81">
        <f t="shared" si="0"/>
        <v>0.30900149090760548</v>
      </c>
      <c r="M5" s="81">
        <f t="shared" si="0"/>
        <v>0.30988467292472427</v>
      </c>
      <c r="N5" s="81">
        <f t="shared" si="0"/>
        <v>0.3110567421790239</v>
      </c>
      <c r="O5" s="81">
        <f t="shared" si="0"/>
        <v>0.31220602738691444</v>
      </c>
      <c r="P5" s="80"/>
    </row>
    <row r="6" spans="1:16">
      <c r="A6" s="79" t="s">
        <v>5</v>
      </c>
      <c r="B6" s="81">
        <f>B3/SUM(B2:B4)</f>
        <v>0.32186302916359733</v>
      </c>
      <c r="C6" s="81">
        <f t="shared" ref="C6:O6" si="1">C3/SUM(C2:C4)</f>
        <v>0.65552588061253847</v>
      </c>
      <c r="D6" s="81">
        <f t="shared" si="1"/>
        <v>6.3717057698546228E-2</v>
      </c>
      <c r="E6" s="81">
        <f>IF(SUM(E2:E4)=0,F6,E3/SUM(E2:E4))</f>
        <v>0.26139999515740175</v>
      </c>
      <c r="F6" s="81">
        <f>IF(SUM(F2:F4)=0,G6,F3/SUM(F2:F4))</f>
        <v>0.32486348716001434</v>
      </c>
      <c r="G6" s="81">
        <f t="shared" si="1"/>
        <v>0.33098091074696684</v>
      </c>
      <c r="H6" s="81">
        <f t="shared" si="1"/>
        <v>0.33182600672912899</v>
      </c>
      <c r="I6" s="81">
        <f t="shared" si="1"/>
        <v>0.33205059326989422</v>
      </c>
      <c r="J6" s="81">
        <f t="shared" si="1"/>
        <v>0.33216513143708881</v>
      </c>
      <c r="K6" s="81">
        <f t="shared" si="1"/>
        <v>0.33288426701832297</v>
      </c>
      <c r="L6" s="81">
        <f t="shared" si="1"/>
        <v>0.33344649818745292</v>
      </c>
      <c r="M6" s="81">
        <f t="shared" si="1"/>
        <v>0.33406769301194583</v>
      </c>
      <c r="N6" s="81">
        <f t="shared" si="1"/>
        <v>0.33532192502454117</v>
      </c>
      <c r="O6" s="81">
        <f t="shared" si="1"/>
        <v>0.33665801273453316</v>
      </c>
      <c r="P6" s="80"/>
    </row>
    <row r="7" spans="1:16">
      <c r="A7" s="79" t="s">
        <v>3</v>
      </c>
      <c r="B7" s="82">
        <f>B3</f>
        <v>24.069393999999999</v>
      </c>
      <c r="C7" s="82">
        <f t="shared" ref="C7:O7" si="2">C3</f>
        <v>86.215164999999999</v>
      </c>
      <c r="D7" s="82">
        <f t="shared" si="2"/>
        <v>9.5501719999999999</v>
      </c>
      <c r="E7" s="82">
        <f t="shared" si="2"/>
        <v>7.5570999999999999E-2</v>
      </c>
      <c r="F7" s="82">
        <f t="shared" si="2"/>
        <v>0.75800299999999998</v>
      </c>
      <c r="G7" s="82">
        <f t="shared" si="2"/>
        <v>3.2782610000000001</v>
      </c>
      <c r="H7" s="82">
        <f t="shared" si="2"/>
        <v>7.6822980000000003</v>
      </c>
      <c r="I7" s="82">
        <f t="shared" si="2"/>
        <v>13.756703999999999</v>
      </c>
      <c r="J7" s="82">
        <f t="shared" si="2"/>
        <v>23.279671</v>
      </c>
      <c r="K7" s="82">
        <f t="shared" si="2"/>
        <v>36.223925000000001</v>
      </c>
      <c r="L7" s="82">
        <f t="shared" si="2"/>
        <v>52.682443999999997</v>
      </c>
      <c r="M7" s="82">
        <f t="shared" si="2"/>
        <v>71.781187000000003</v>
      </c>
      <c r="N7" s="82">
        <f t="shared" si="2"/>
        <v>95.838181000000006</v>
      </c>
      <c r="O7" s="82">
        <f t="shared" si="2"/>
        <v>120.105847</v>
      </c>
      <c r="P7" s="8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04"/>
  <sheetViews>
    <sheetView workbookViewId="0">
      <selection activeCell="R21" sqref="R21"/>
    </sheetView>
  </sheetViews>
  <sheetFormatPr defaultColWidth="8.81640625" defaultRowHeight="14.5"/>
  <sheetData>
    <row r="1" spans="1:12">
      <c r="A1" s="100" t="s">
        <v>11</v>
      </c>
      <c r="B1" s="100"/>
      <c r="C1" s="100"/>
      <c r="E1" s="100" t="s">
        <v>10</v>
      </c>
      <c r="F1" s="100"/>
    </row>
    <row r="2" spans="1:12">
      <c r="A2" s="2" t="s">
        <v>7</v>
      </c>
      <c r="B2" s="2" t="s">
        <v>4</v>
      </c>
      <c r="C2" s="2" t="s">
        <v>5</v>
      </c>
      <c r="E2" s="2" t="s">
        <v>4</v>
      </c>
      <c r="F2" s="2" t="s">
        <v>5</v>
      </c>
    </row>
    <row r="3" spans="1:12" ht="15.5">
      <c r="A3" s="2">
        <v>1000</v>
      </c>
      <c r="B3" s="1">
        <v>0.64990000000000003</v>
      </c>
      <c r="C3" s="1">
        <v>0.34739999999999999</v>
      </c>
      <c r="E3">
        <v>0.17411223442634155</v>
      </c>
      <c r="F3">
        <v>4.963725981452719E-3</v>
      </c>
      <c r="I3" s="8" t="s">
        <v>8</v>
      </c>
      <c r="J3" s="9"/>
      <c r="K3" s="10"/>
      <c r="L3" s="11"/>
    </row>
    <row r="4" spans="1:12">
      <c r="A4" s="2">
        <v>2000</v>
      </c>
      <c r="B4" s="1">
        <v>0.52669999999999995</v>
      </c>
      <c r="C4" s="1">
        <v>0.4173</v>
      </c>
      <c r="E4">
        <v>0.17407258352145916</v>
      </c>
      <c r="F4">
        <v>4.9725848039546654E-3</v>
      </c>
      <c r="I4" s="12"/>
      <c r="J4" s="6"/>
      <c r="K4" s="6" t="s">
        <v>4</v>
      </c>
      <c r="L4" s="13" t="s">
        <v>5</v>
      </c>
    </row>
    <row r="5" spans="1:12">
      <c r="A5" s="2">
        <v>3000</v>
      </c>
      <c r="B5" s="1">
        <v>0.43880000000000002</v>
      </c>
      <c r="C5" s="1">
        <v>0.40949999999999998</v>
      </c>
      <c r="E5">
        <v>0.17403627668056365</v>
      </c>
      <c r="F5">
        <v>4.9859267212831564E-3</v>
      </c>
      <c r="I5" s="12" t="s">
        <v>0</v>
      </c>
      <c r="J5" s="6"/>
      <c r="K5" s="5">
        <v>0.64</v>
      </c>
      <c r="L5" s="14">
        <v>0.33</v>
      </c>
    </row>
    <row r="6" spans="1:12">
      <c r="A6" s="3">
        <v>4000</v>
      </c>
      <c r="B6" s="1">
        <v>0.38269999999999998</v>
      </c>
      <c r="C6" s="1">
        <v>0.38200000000000001</v>
      </c>
      <c r="E6">
        <v>0.17397193226156821</v>
      </c>
      <c r="F6">
        <v>4.9640687578142535E-3</v>
      </c>
      <c r="I6" s="12" t="s">
        <v>1</v>
      </c>
      <c r="J6" s="6"/>
      <c r="K6" s="5">
        <v>0.3</v>
      </c>
      <c r="L6" s="14">
        <v>0.6</v>
      </c>
    </row>
    <row r="7" spans="1:12">
      <c r="A7" s="3">
        <v>5000</v>
      </c>
      <c r="B7" s="1">
        <v>0.3473</v>
      </c>
      <c r="C7" s="1">
        <v>0.35610000000000003</v>
      </c>
      <c r="E7">
        <v>0.17388903724278723</v>
      </c>
      <c r="F7">
        <v>4.926040123404923E-3</v>
      </c>
      <c r="I7" s="12" t="s">
        <v>2</v>
      </c>
      <c r="J7" s="6"/>
      <c r="K7" s="5">
        <v>0.15</v>
      </c>
      <c r="L7" s="14">
        <v>0.06</v>
      </c>
    </row>
    <row r="8" spans="1:12">
      <c r="A8" s="3">
        <v>6000</v>
      </c>
      <c r="B8" s="1">
        <v>0.32419999999999999</v>
      </c>
      <c r="C8" s="1">
        <v>0.33550000000000002</v>
      </c>
      <c r="E8">
        <v>0.17380077262082802</v>
      </c>
      <c r="F8">
        <v>4.9154119053734062E-3</v>
      </c>
      <c r="I8" s="15" t="s">
        <v>0</v>
      </c>
      <c r="J8" s="16"/>
      <c r="K8" s="17">
        <v>0.64</v>
      </c>
      <c r="L8" s="18">
        <v>0.33</v>
      </c>
    </row>
    <row r="9" spans="1:12">
      <c r="A9" s="3">
        <v>7000</v>
      </c>
      <c r="B9" s="1">
        <v>0.30830000000000002</v>
      </c>
      <c r="C9" s="1">
        <v>0.31950000000000001</v>
      </c>
      <c r="E9">
        <v>0.17370535274904986</v>
      </c>
      <c r="F9">
        <v>4.9370983710951685E-3</v>
      </c>
      <c r="I9" s="7"/>
      <c r="J9" s="7"/>
      <c r="K9" s="7"/>
      <c r="L9" s="7"/>
    </row>
    <row r="10" spans="1:12">
      <c r="A10" s="3">
        <v>8000</v>
      </c>
      <c r="B10" s="1">
        <v>0.29699999999999999</v>
      </c>
      <c r="C10" s="1">
        <v>0.30709999999999998</v>
      </c>
      <c r="E10">
        <v>0.1736060182169068</v>
      </c>
      <c r="F10">
        <v>4.9398952711092537E-3</v>
      </c>
      <c r="I10" s="7"/>
      <c r="J10" s="7"/>
      <c r="K10" s="7"/>
      <c r="L10" s="7"/>
    </row>
    <row r="11" spans="1:12">
      <c r="A11" s="3">
        <v>9000</v>
      </c>
      <c r="B11" s="1">
        <v>0.28870000000000001</v>
      </c>
      <c r="C11" s="1">
        <v>0.29749999999999999</v>
      </c>
      <c r="E11">
        <v>0.17351444871013735</v>
      </c>
      <c r="F11">
        <v>4.8954526321382807E-3</v>
      </c>
      <c r="I11" s="7"/>
      <c r="J11" s="7"/>
      <c r="K11" s="7"/>
      <c r="L11" s="7"/>
    </row>
    <row r="12" spans="1:12" ht="15.5">
      <c r="A12" s="3">
        <v>10000</v>
      </c>
      <c r="B12" s="1">
        <v>0.28239999999999998</v>
      </c>
      <c r="C12" s="1">
        <v>0.2898</v>
      </c>
      <c r="E12">
        <v>0.17342366622583322</v>
      </c>
      <c r="F12">
        <v>4.8363121222105634E-3</v>
      </c>
      <c r="I12" s="8" t="s">
        <v>9</v>
      </c>
      <c r="J12" s="9"/>
      <c r="K12" s="10"/>
      <c r="L12" s="11"/>
    </row>
    <row r="13" spans="1:12">
      <c r="A13" s="3">
        <v>11000</v>
      </c>
      <c r="B13" s="1">
        <v>0.27739999999999998</v>
      </c>
      <c r="C13" s="1">
        <v>0.28360000000000002</v>
      </c>
      <c r="E13">
        <v>0.17333686548078087</v>
      </c>
      <c r="F13">
        <v>4.7967434472668919E-3</v>
      </c>
      <c r="I13" s="12"/>
      <c r="J13" s="6"/>
      <c r="K13" s="6" t="s">
        <v>4</v>
      </c>
      <c r="L13" s="13" t="s">
        <v>5</v>
      </c>
    </row>
    <row r="14" spans="1:12">
      <c r="A14" s="3">
        <v>12000</v>
      </c>
      <c r="B14" s="1">
        <v>0.27339999999999998</v>
      </c>
      <c r="C14" s="1">
        <v>0.27850000000000003</v>
      </c>
      <c r="E14">
        <v>0.17323792045311176</v>
      </c>
      <c r="F14">
        <v>4.7788879322168635E-3</v>
      </c>
      <c r="I14" s="12" t="s">
        <v>0</v>
      </c>
      <c r="J14" s="6"/>
      <c r="K14" s="5">
        <v>0.64</v>
      </c>
      <c r="L14" s="14">
        <v>0.33</v>
      </c>
    </row>
    <row r="15" spans="1:12">
      <c r="A15" s="3">
        <v>13000</v>
      </c>
      <c r="B15" s="1">
        <v>0.2702</v>
      </c>
      <c r="C15" s="1">
        <v>0.2742</v>
      </c>
      <c r="E15">
        <v>0.17310101177525991</v>
      </c>
      <c r="F15">
        <v>4.7740331654470697E-3</v>
      </c>
      <c r="I15" s="12" t="s">
        <v>1</v>
      </c>
      <c r="J15" s="6"/>
      <c r="K15" s="5">
        <v>0.21</v>
      </c>
      <c r="L15" s="14">
        <v>0.71</v>
      </c>
    </row>
    <row r="16" spans="1:12">
      <c r="A16" s="3">
        <v>14000</v>
      </c>
      <c r="B16" s="1">
        <v>0.26750000000000002</v>
      </c>
      <c r="C16" s="1">
        <v>0.2707</v>
      </c>
      <c r="E16">
        <v>0.17293425685085945</v>
      </c>
      <c r="F16">
        <v>4.7811471717814661E-3</v>
      </c>
      <c r="I16" s="12" t="s">
        <v>2</v>
      </c>
      <c r="J16" s="6"/>
      <c r="K16" s="5">
        <v>0.15</v>
      </c>
      <c r="L16" s="14">
        <v>0.06</v>
      </c>
    </row>
    <row r="17" spans="1:23">
      <c r="A17" s="3">
        <v>15000</v>
      </c>
      <c r="B17" s="1">
        <v>0.26529999999999998</v>
      </c>
      <c r="C17" s="1">
        <v>0.2676</v>
      </c>
      <c r="E17">
        <v>0.17275115260334731</v>
      </c>
      <c r="F17">
        <v>4.7987620992631357E-3</v>
      </c>
      <c r="I17" s="15" t="s">
        <v>0</v>
      </c>
      <c r="J17" s="16"/>
      <c r="K17" s="17">
        <v>0.64</v>
      </c>
      <c r="L17" s="18">
        <v>0.33</v>
      </c>
    </row>
    <row r="18" spans="1:23">
      <c r="A18" s="4">
        <v>16000</v>
      </c>
      <c r="B18" s="1">
        <v>0.26340000000000002</v>
      </c>
      <c r="C18" s="1">
        <v>0.26500000000000001</v>
      </c>
      <c r="E18">
        <v>0.17257655084880216</v>
      </c>
      <c r="F18">
        <v>4.7993019197207672E-3</v>
      </c>
    </row>
    <row r="19" spans="1:23">
      <c r="A19" s="4">
        <v>17000</v>
      </c>
      <c r="B19" s="1">
        <v>0.26179999999999998</v>
      </c>
      <c r="C19" s="1">
        <v>0.26269999999999999</v>
      </c>
      <c r="E19">
        <v>0.1723956033841732</v>
      </c>
      <c r="F19">
        <v>4.7961185889349089E-3</v>
      </c>
    </row>
    <row r="20" spans="1:23">
      <c r="A20" s="4">
        <v>18000</v>
      </c>
      <c r="B20" s="1">
        <v>0.26040000000000002</v>
      </c>
      <c r="C20" s="1">
        <v>0.26069999999999999</v>
      </c>
      <c r="E20">
        <v>0.17219236036195854</v>
      </c>
      <c r="F20">
        <v>4.814885214020498E-3</v>
      </c>
    </row>
    <row r="21" spans="1:23" ht="15.5">
      <c r="E21">
        <v>0.17198244593822173</v>
      </c>
      <c r="F21">
        <v>4.8550101685644583E-3</v>
      </c>
      <c r="I21" s="8" t="s">
        <v>12</v>
      </c>
      <c r="J21" s="9"/>
      <c r="K21" s="10"/>
      <c r="L21" s="11"/>
    </row>
    <row r="22" spans="1:23">
      <c r="B22" t="s">
        <v>13</v>
      </c>
      <c r="E22">
        <v>0.17174121370573661</v>
      </c>
      <c r="F22">
        <v>4.9393324566168722E-3</v>
      </c>
      <c r="I22" s="12"/>
      <c r="J22" s="6"/>
      <c r="K22" s="6" t="s">
        <v>4</v>
      </c>
      <c r="L22" s="13" t="s">
        <v>5</v>
      </c>
    </row>
    <row r="23" spans="1:23">
      <c r="B23" s="19">
        <v>0.31269999999999998</v>
      </c>
      <c r="C23" s="19">
        <v>0.32900000000000001</v>
      </c>
      <c r="E23">
        <v>0.17140743386310878</v>
      </c>
      <c r="F23">
        <v>5.1021709737493308E-3</v>
      </c>
      <c r="I23" s="12" t="s">
        <v>0</v>
      </c>
      <c r="J23" s="6"/>
      <c r="K23" s="5">
        <v>0.68</v>
      </c>
      <c r="L23" s="14">
        <v>0.32</v>
      </c>
    </row>
    <row r="24" spans="1:23">
      <c r="E24">
        <v>0.17099257422180436</v>
      </c>
      <c r="F24">
        <v>5.3339077620158182E-3</v>
      </c>
      <c r="I24" s="12" t="s">
        <v>1</v>
      </c>
      <c r="J24" s="6"/>
      <c r="K24" s="5">
        <v>0.26500000000000001</v>
      </c>
      <c r="L24" s="14">
        <v>0.69</v>
      </c>
    </row>
    <row r="25" spans="1:23">
      <c r="E25">
        <v>0.17054066192352893</v>
      </c>
      <c r="F25">
        <v>5.6209699334746214E-3</v>
      </c>
      <c r="I25" s="12" t="s">
        <v>2</v>
      </c>
      <c r="J25" s="6"/>
      <c r="K25" s="5">
        <v>0.15</v>
      </c>
      <c r="L25" s="14">
        <v>0.06</v>
      </c>
      <c r="P25" s="24"/>
      <c r="Q25" s="24"/>
      <c r="R25" s="24"/>
      <c r="S25" s="24"/>
      <c r="T25" s="24"/>
      <c r="U25" s="24"/>
      <c r="V25" s="24"/>
      <c r="W25" s="24"/>
    </row>
    <row r="26" spans="1:23">
      <c r="E26">
        <v>0.17005015866814935</v>
      </c>
      <c r="F26">
        <v>5.973895107891071E-3</v>
      </c>
      <c r="I26" s="15" t="s">
        <v>0</v>
      </c>
      <c r="J26" s="16"/>
      <c r="K26" s="17">
        <v>0.68</v>
      </c>
      <c r="L26" s="18">
        <v>0.32</v>
      </c>
      <c r="P26" s="7"/>
      <c r="Q26" s="7"/>
      <c r="R26" s="7"/>
      <c r="S26" s="7"/>
      <c r="T26" s="7"/>
      <c r="U26" s="7"/>
      <c r="V26" s="7"/>
      <c r="W26" s="7"/>
    </row>
    <row r="27" spans="1:23">
      <c r="E27">
        <v>0.16950460253225408</v>
      </c>
      <c r="F27">
        <v>6.3980369068780294E-3</v>
      </c>
      <c r="P27" s="7"/>
      <c r="Q27" s="7"/>
      <c r="R27" s="7"/>
      <c r="S27" s="7"/>
      <c r="T27" s="7"/>
      <c r="U27" s="7"/>
      <c r="V27" s="7"/>
      <c r="W27" s="7"/>
    </row>
    <row r="28" spans="1:23">
      <c r="E28">
        <v>0.16887752067098924</v>
      </c>
      <c r="F28">
        <v>6.900243887930522E-3</v>
      </c>
      <c r="P28" s="7"/>
      <c r="Q28" s="25"/>
      <c r="R28" s="25"/>
      <c r="S28" s="25"/>
      <c r="T28" s="25"/>
      <c r="U28" s="25"/>
      <c r="V28" s="25"/>
      <c r="W28" s="7"/>
    </row>
    <row r="29" spans="1:23" ht="15.5">
      <c r="E29">
        <v>0.1681461454615307</v>
      </c>
      <c r="F29">
        <v>7.4906796663236274E-3</v>
      </c>
      <c r="I29" s="8">
        <v>2020</v>
      </c>
      <c r="J29" s="9"/>
      <c r="K29" s="10"/>
      <c r="L29" s="11"/>
      <c r="P29" s="7"/>
      <c r="Q29" s="7"/>
      <c r="R29" s="7"/>
      <c r="S29" s="7"/>
      <c r="T29" s="7"/>
      <c r="U29" s="7"/>
      <c r="V29" s="7"/>
      <c r="W29" s="7"/>
    </row>
    <row r="30" spans="1:23">
      <c r="E30">
        <v>0.16732832574459608</v>
      </c>
      <c r="F30">
        <v>8.1753996750012423E-3</v>
      </c>
      <c r="I30" s="12"/>
      <c r="J30" s="6"/>
      <c r="K30" s="6" t="s">
        <v>4</v>
      </c>
      <c r="L30" s="13" t="s">
        <v>5</v>
      </c>
      <c r="P30" s="7"/>
      <c r="Q30" s="7"/>
      <c r="R30" s="7"/>
      <c r="S30" s="7"/>
      <c r="T30" s="7"/>
      <c r="U30" s="7"/>
      <c r="V30" s="7"/>
      <c r="W30" s="7"/>
    </row>
    <row r="31" spans="1:23">
      <c r="E31">
        <v>0.16644632713500276</v>
      </c>
      <c r="F31">
        <v>8.9644004177574996E-3</v>
      </c>
      <c r="I31" s="12" t="s">
        <v>0</v>
      </c>
      <c r="J31" s="6"/>
      <c r="K31" s="5">
        <v>0.70799999999999996</v>
      </c>
      <c r="L31" s="14">
        <v>0.29199999999999998</v>
      </c>
      <c r="P31" s="7"/>
      <c r="Q31" s="7"/>
      <c r="R31" s="7"/>
      <c r="S31" s="7"/>
      <c r="T31" s="7"/>
      <c r="U31" s="7"/>
      <c r="V31" s="7"/>
      <c r="W31" s="7"/>
    </row>
    <row r="32" spans="1:23">
      <c r="E32">
        <v>0.16548329901146577</v>
      </c>
      <c r="F32">
        <v>9.8646809723459319E-3</v>
      </c>
      <c r="I32" s="12" t="s">
        <v>1</v>
      </c>
      <c r="J32" s="6"/>
      <c r="K32" s="5">
        <v>0.17</v>
      </c>
      <c r="L32" s="14">
        <v>0.79700000000000004</v>
      </c>
      <c r="P32" s="7"/>
      <c r="Q32" s="7"/>
      <c r="R32" s="7"/>
      <c r="S32" s="7"/>
      <c r="T32" s="7"/>
      <c r="U32" s="7"/>
      <c r="V32" s="7"/>
      <c r="W32" s="7"/>
    </row>
    <row r="33" spans="5:23">
      <c r="E33">
        <v>0.16441175637527497</v>
      </c>
      <c r="F33">
        <v>1.0857558276763881E-2</v>
      </c>
      <c r="I33" s="12" t="s">
        <v>2</v>
      </c>
      <c r="J33" s="6"/>
      <c r="K33" s="5">
        <v>0.13100000000000001</v>
      </c>
      <c r="L33" s="14">
        <v>4.5999999999999999E-2</v>
      </c>
      <c r="P33" s="24"/>
      <c r="Q33" s="24"/>
      <c r="R33" s="24"/>
      <c r="S33" s="24"/>
      <c r="T33" s="24"/>
      <c r="U33" s="24"/>
      <c r="V33" s="24"/>
      <c r="W33" s="24"/>
    </row>
    <row r="34" spans="5:23">
      <c r="E34">
        <v>0.16320989595442198</v>
      </c>
      <c r="F34">
        <v>1.1937385814567738E-2</v>
      </c>
      <c r="I34" s="15" t="s">
        <v>0</v>
      </c>
      <c r="J34" s="16"/>
      <c r="K34" s="17">
        <v>0.70799999999999996</v>
      </c>
      <c r="L34" s="18">
        <v>0.29199999999999998</v>
      </c>
    </row>
    <row r="35" spans="5:23">
      <c r="E35">
        <v>0.16185143806508925</v>
      </c>
      <c r="F35">
        <v>1.3137307095434019E-2</v>
      </c>
    </row>
    <row r="36" spans="5:23">
      <c r="E36">
        <v>0.16030959501938935</v>
      </c>
      <c r="F36">
        <v>1.4491378166333682E-2</v>
      </c>
    </row>
    <row r="37" spans="5:23" ht="15.5">
      <c r="E37">
        <v>0.15857311107590655</v>
      </c>
      <c r="F37">
        <v>1.6015156415588771E-2</v>
      </c>
      <c r="I37" s="8" t="s">
        <v>20</v>
      </c>
      <c r="J37" s="9"/>
      <c r="K37" s="10"/>
      <c r="L37" s="11"/>
    </row>
    <row r="38" spans="5:23">
      <c r="E38">
        <v>0.15664166239575081</v>
      </c>
      <c r="F38">
        <v>1.7704887480780876E-2</v>
      </c>
      <c r="I38" s="12"/>
      <c r="J38" s="6"/>
      <c r="K38" s="6" t="s">
        <v>4</v>
      </c>
      <c r="L38" s="13" t="s">
        <v>5</v>
      </c>
    </row>
    <row r="39" spans="5:23">
      <c r="E39">
        <v>0.15452461249468066</v>
      </c>
      <c r="F39">
        <v>1.9555697804539564E-2</v>
      </c>
      <c r="I39" s="12" t="s">
        <v>0</v>
      </c>
      <c r="J39" s="6"/>
      <c r="K39" s="5">
        <v>0.67</v>
      </c>
      <c r="L39" s="14">
        <v>0.33</v>
      </c>
    </row>
    <row r="40" spans="5:23">
      <c r="E40">
        <v>0.15221923622825251</v>
      </c>
      <c r="F40">
        <v>2.161171102090214E-2</v>
      </c>
      <c r="I40" s="12" t="s">
        <v>1</v>
      </c>
      <c r="J40" s="6"/>
      <c r="K40" s="5">
        <v>0.21</v>
      </c>
      <c r="L40" s="14">
        <v>0.71</v>
      </c>
    </row>
    <row r="41" spans="5:23">
      <c r="E41">
        <v>0.14969056475871326</v>
      </c>
      <c r="F41">
        <v>2.3950330195758446E-2</v>
      </c>
      <c r="I41" s="12" t="s">
        <v>2</v>
      </c>
      <c r="J41" s="6"/>
      <c r="K41" s="5">
        <v>0.14000000000000001</v>
      </c>
      <c r="L41" s="14">
        <v>0.08</v>
      </c>
    </row>
    <row r="42" spans="5:23">
      <c r="E42">
        <v>0.14692822650137571</v>
      </c>
      <c r="F42">
        <v>2.6635185857687801E-2</v>
      </c>
      <c r="I42" s="15" t="s">
        <v>0</v>
      </c>
      <c r="J42" s="16"/>
      <c r="K42" s="17">
        <f>K39</f>
        <v>0.67</v>
      </c>
      <c r="L42" s="18">
        <f>L39</f>
        <v>0.33</v>
      </c>
    </row>
    <row r="43" spans="5:23">
      <c r="E43">
        <v>0.14396039603960395</v>
      </c>
      <c r="F43">
        <v>2.9702970297029702E-2</v>
      </c>
    </row>
    <row r="44" spans="5:23">
      <c r="E44">
        <v>0.1407956466645903</v>
      </c>
      <c r="F44">
        <v>3.3213154606260037E-2</v>
      </c>
    </row>
    <row r="45" spans="5:23">
      <c r="E45">
        <v>0.13736375793511826</v>
      </c>
      <c r="F45">
        <v>3.7403090443634081E-2</v>
      </c>
    </row>
    <row r="46" spans="5:23">
      <c r="E46">
        <v>0.13350934095590797</v>
      </c>
      <c r="F46">
        <v>4.2692390010526202E-2</v>
      </c>
    </row>
    <row r="47" spans="5:23">
      <c r="E47">
        <v>0.12908578655718694</v>
      </c>
      <c r="F47">
        <v>4.9449810659734882E-2</v>
      </c>
    </row>
    <row r="48" spans="5:23">
      <c r="E48">
        <v>0.12411847672778563</v>
      </c>
      <c r="F48">
        <v>5.7802513373740462E-2</v>
      </c>
    </row>
    <row r="49" spans="5:6">
      <c r="E49">
        <v>0.11870127645203925</v>
      </c>
      <c r="F49">
        <v>6.7830443532348614E-2</v>
      </c>
    </row>
    <row r="50" spans="5:6">
      <c r="E50">
        <v>0.11277605484761011</v>
      </c>
      <c r="F50">
        <v>7.9895822895960866E-2</v>
      </c>
    </row>
    <row r="51" spans="5:6">
      <c r="E51">
        <v>0.10626073531792782</v>
      </c>
      <c r="F51">
        <v>9.4486072203720503E-2</v>
      </c>
    </row>
    <row r="52" spans="5:6">
      <c r="E52">
        <v>9.9127599901673302E-2</v>
      </c>
      <c r="F52">
        <v>0.11200703303719517</v>
      </c>
    </row>
    <row r="53" spans="5:6">
      <c r="E53">
        <v>9.1293515716726656E-2</v>
      </c>
      <c r="F53">
        <v>0.13270205515411271</v>
      </c>
    </row>
    <row r="54" spans="5:6">
      <c r="E54">
        <v>8.2679534481970976E-2</v>
      </c>
      <c r="F54">
        <v>0.15686595807723955</v>
      </c>
    </row>
    <row r="55" spans="5:6">
      <c r="E55">
        <v>7.3437259904749766E-2</v>
      </c>
      <c r="F55">
        <v>0.18503188052711952</v>
      </c>
    </row>
    <row r="56" spans="5:6">
      <c r="E56">
        <v>6.3993023686906653E-2</v>
      </c>
      <c r="F56">
        <v>0.21746760540506083</v>
      </c>
    </row>
    <row r="57" spans="5:6">
      <c r="E57">
        <v>5.4666522876195216E-2</v>
      </c>
      <c r="F57">
        <v>0.25409559074702476</v>
      </c>
    </row>
    <row r="58" spans="5:6">
      <c r="E58">
        <v>4.5390734674777722E-2</v>
      </c>
      <c r="F58">
        <v>0.2949759646062875</v>
      </c>
    </row>
    <row r="59" spans="5:6">
      <c r="E59">
        <v>3.619510915393985E-2</v>
      </c>
      <c r="F59">
        <v>0.33989993441394173</v>
      </c>
    </row>
    <row r="60" spans="5:6">
      <c r="E60">
        <v>2.7494190534784295E-2</v>
      </c>
      <c r="F60">
        <v>0.38792132828082937</v>
      </c>
    </row>
    <row r="61" spans="5:6">
      <c r="E61">
        <v>1.9704636302953663E-2</v>
      </c>
      <c r="F61">
        <v>0.43775588865207382</v>
      </c>
    </row>
    <row r="62" spans="5:6">
      <c r="E62">
        <v>1.3183041153080763E-2</v>
      </c>
      <c r="F62">
        <v>0.48820706841228018</v>
      </c>
    </row>
    <row r="63" spans="5:6">
      <c r="E63">
        <v>8.1680280046674426E-3</v>
      </c>
      <c r="F63">
        <v>0.53842307051175187</v>
      </c>
    </row>
    <row r="64" spans="5:6">
      <c r="E64">
        <v>4.8754299926907947E-3</v>
      </c>
      <c r="F64">
        <v>0.58711643804460245</v>
      </c>
    </row>
    <row r="65" spans="5:6">
      <c r="E65">
        <v>3.6363842254527679E-3</v>
      </c>
      <c r="F65">
        <v>0.63301138275080437</v>
      </c>
    </row>
    <row r="66" spans="5:6">
      <c r="E66">
        <v>4.6457132325555262E-3</v>
      </c>
      <c r="F66">
        <v>0.67589845859925257</v>
      </c>
    </row>
    <row r="67" spans="5:6">
      <c r="E67">
        <v>7.9883958286533531E-3</v>
      </c>
      <c r="F67">
        <v>0.71534151625583076</v>
      </c>
    </row>
    <row r="68" spans="5:6">
      <c r="E68">
        <v>1.3870246085011185E-2</v>
      </c>
      <c r="F68">
        <v>0.750186428038777</v>
      </c>
    </row>
    <row r="69" spans="5:6">
      <c r="E69">
        <v>2.2244205694743918E-2</v>
      </c>
      <c r="F69">
        <v>0.77962992320077129</v>
      </c>
    </row>
    <row r="70" spans="5:6">
      <c r="E70">
        <v>3.2820357522217493E-2</v>
      </c>
      <c r="F70">
        <v>0.80292567298964013</v>
      </c>
    </row>
    <row r="71" spans="5:6">
      <c r="E71">
        <v>4.5327984829413914E-2</v>
      </c>
      <c r="F71">
        <v>0.81939080045608104</v>
      </c>
    </row>
    <row r="72" spans="5:6">
      <c r="E72">
        <v>5.9325533351987141E-2</v>
      </c>
      <c r="F72">
        <v>0.82942577629655079</v>
      </c>
    </row>
    <row r="73" spans="5:6">
      <c r="E73">
        <v>7.4302424773374967E-2</v>
      </c>
      <c r="F73">
        <v>0.8338030913402279</v>
      </c>
    </row>
    <row r="74" spans="5:6">
      <c r="E74">
        <v>8.9941739585336078E-2</v>
      </c>
      <c r="F74">
        <v>0.83328891889595835</v>
      </c>
    </row>
    <row r="75" spans="5:6">
      <c r="E75">
        <v>0.1060211073322406</v>
      </c>
      <c r="F75">
        <v>0.82917818663109899</v>
      </c>
    </row>
    <row r="76" spans="5:6">
      <c r="E76">
        <v>0.12234736703370142</v>
      </c>
      <c r="F76">
        <v>0.82277039956386899</v>
      </c>
    </row>
    <row r="77" spans="5:6">
      <c r="E77">
        <v>0.13870234921423477</v>
      </c>
      <c r="F77">
        <v>0.81477438259494728</v>
      </c>
    </row>
    <row r="78" spans="5:6">
      <c r="E78">
        <v>0.15472206121571341</v>
      </c>
      <c r="F78">
        <v>0.8058635454256492</v>
      </c>
    </row>
    <row r="79" spans="5:6">
      <c r="E79">
        <v>0.17023719547892346</v>
      </c>
      <c r="F79">
        <v>0.79651854224541219</v>
      </c>
    </row>
    <row r="80" spans="5:6">
      <c r="E80">
        <v>0.185390757399363</v>
      </c>
      <c r="F80">
        <v>0.78672777282068129</v>
      </c>
    </row>
    <row r="81" spans="5:6">
      <c r="E81">
        <v>0.20030879814494176</v>
      </c>
      <c r="F81">
        <v>0.7763994160506198</v>
      </c>
    </row>
    <row r="82" spans="5:6">
      <c r="E82">
        <v>0.21502955000576848</v>
      </c>
      <c r="F82">
        <v>0.7655950960606106</v>
      </c>
    </row>
    <row r="83" spans="5:6">
      <c r="E83">
        <v>0.22961967264964023</v>
      </c>
      <c r="F83">
        <v>0.75432908990274372</v>
      </c>
    </row>
    <row r="84" spans="5:6">
      <c r="E84">
        <v>0.24413255647382395</v>
      </c>
      <c r="F84">
        <v>0.74261399168137254</v>
      </c>
    </row>
    <row r="85" spans="5:6">
      <c r="E85">
        <v>0.25857750845525057</v>
      </c>
      <c r="F85">
        <v>0.73050660190974714</v>
      </c>
    </row>
    <row r="86" spans="5:6">
      <c r="E86">
        <v>0.27295760351093018</v>
      </c>
      <c r="F86">
        <v>0.71806218641678965</v>
      </c>
    </row>
    <row r="87" spans="5:6">
      <c r="E87">
        <v>0.28729240908025949</v>
      </c>
      <c r="F87">
        <v>0.70531627388828255</v>
      </c>
    </row>
    <row r="88" spans="5:6">
      <c r="E88">
        <v>0.30160379939575122</v>
      </c>
      <c r="F88">
        <v>0.69230776237157421</v>
      </c>
    </row>
    <row r="89" spans="5:6">
      <c r="E89">
        <v>0.31591439444899189</v>
      </c>
      <c r="F89">
        <v>0.67906347999092953</v>
      </c>
    </row>
    <row r="90" spans="5:6">
      <c r="E90">
        <v>0.33021554535689746</v>
      </c>
      <c r="F90">
        <v>0.66562802541714927</v>
      </c>
    </row>
    <row r="91" spans="5:6">
      <c r="E91">
        <v>0.34451319835545352</v>
      </c>
      <c r="F91">
        <v>0.65202820921784399</v>
      </c>
    </row>
    <row r="92" spans="5:6">
      <c r="E92">
        <v>0.35881368668430313</v>
      </c>
      <c r="F92">
        <v>0.63828733653775271</v>
      </c>
    </row>
    <row r="93" spans="5:6">
      <c r="E93">
        <v>0.3731015438684574</v>
      </c>
      <c r="F93">
        <v>0.62445085979666115</v>
      </c>
    </row>
    <row r="94" spans="5:6">
      <c r="E94">
        <v>0.38737897795864384</v>
      </c>
      <c r="F94">
        <v>0.61054180245501632</v>
      </c>
    </row>
    <row r="95" spans="5:6">
      <c r="E95">
        <v>0.40162591883118104</v>
      </c>
      <c r="F95">
        <v>0.59659242196256179</v>
      </c>
    </row>
    <row r="96" spans="5:6">
      <c r="E96">
        <v>0.41583577470555944</v>
      </c>
      <c r="F96">
        <v>0.5826179680569763</v>
      </c>
    </row>
    <row r="97" spans="5:6">
      <c r="E97">
        <v>0.42998862651243847</v>
      </c>
      <c r="F97">
        <v>0.56864889127080398</v>
      </c>
    </row>
    <row r="98" spans="5:6">
      <c r="E98">
        <v>0.44406246358233309</v>
      </c>
      <c r="F98">
        <v>0.5547139028085305</v>
      </c>
    </row>
    <row r="99" spans="5:6">
      <c r="E99">
        <v>0.45804066564742263</v>
      </c>
      <c r="F99">
        <v>0.54083662916440234</v>
      </c>
    </row>
    <row r="100" spans="5:6">
      <c r="E100">
        <v>0.47189874389966813</v>
      </c>
      <c r="F100">
        <v>0.52705056921926163</v>
      </c>
    </row>
    <row r="101" spans="5:6">
      <c r="E101">
        <v>0.48561158705209129</v>
      </c>
      <c r="F101">
        <v>0.51338866096156044</v>
      </c>
    </row>
    <row r="102" spans="5:6">
      <c r="E102">
        <v>0.49915066833429805</v>
      </c>
      <c r="F102">
        <v>0.49988734043830646</v>
      </c>
    </row>
    <row r="103" spans="5:6">
      <c r="E103">
        <v>0.51248636678179682</v>
      </c>
      <c r="F103">
        <v>0.48659078806085698</v>
      </c>
    </row>
    <row r="104" spans="5:6">
      <c r="E104">
        <v>0.52560048898545109</v>
      </c>
      <c r="F104">
        <v>0.47352737397552891</v>
      </c>
    </row>
    <row r="105" spans="5:6">
      <c r="E105">
        <v>0.53846276190255371</v>
      </c>
      <c r="F105">
        <v>0.46072525384084173</v>
      </c>
    </row>
    <row r="106" spans="5:6">
      <c r="E106">
        <v>0.55103105021229248</v>
      </c>
      <c r="F106">
        <v>0.44822450290997451</v>
      </c>
    </row>
    <row r="107" spans="5:6">
      <c r="E107">
        <v>0.56326931237315703</v>
      </c>
      <c r="F107">
        <v>0.43605806173667433</v>
      </c>
    </row>
    <row r="108" spans="5:6">
      <c r="E108">
        <v>0.57515131136516473</v>
      </c>
      <c r="F108">
        <v>0.42423223492490469</v>
      </c>
    </row>
    <row r="109" spans="5:6">
      <c r="E109">
        <v>0.58665018689089132</v>
      </c>
      <c r="F109">
        <v>0.41275842119209594</v>
      </c>
    </row>
    <row r="110" spans="5:6">
      <c r="E110">
        <v>0.5976581621052407</v>
      </c>
      <c r="F110">
        <v>0.40176193497228024</v>
      </c>
    </row>
    <row r="111" spans="5:6">
      <c r="E111">
        <v>0.60803511113228548</v>
      </c>
      <c r="F111">
        <v>0.39140915170770763</v>
      </c>
    </row>
    <row r="112" spans="5:6">
      <c r="E112">
        <v>0.61777872558528291</v>
      </c>
      <c r="F112">
        <v>0.38170575682850383</v>
      </c>
    </row>
    <row r="113" spans="5:6">
      <c r="E113">
        <v>0.62703659976387249</v>
      </c>
      <c r="F113">
        <v>0.37249114521841797</v>
      </c>
    </row>
    <row r="114" spans="5:6">
      <c r="E114">
        <v>0.63589981957626585</v>
      </c>
      <c r="F114">
        <v>0.36366540243326684</v>
      </c>
    </row>
    <row r="115" spans="5:6">
      <c r="E115">
        <v>0.64427296065727446</v>
      </c>
      <c r="F115">
        <v>0.35533136977159269</v>
      </c>
    </row>
    <row r="116" spans="5:6">
      <c r="E116">
        <v>0.65202823559517908</v>
      </c>
      <c r="F116">
        <v>0.34762796068297919</v>
      </c>
    </row>
    <row r="117" spans="5:6">
      <c r="E117">
        <v>0.65916613469271157</v>
      </c>
      <c r="F117">
        <v>0.34055322541223254</v>
      </c>
    </row>
    <row r="118" spans="5:6">
      <c r="E118">
        <v>0.66576357623809712</v>
      </c>
      <c r="F118">
        <v>0.33401065115476053</v>
      </c>
    </row>
    <row r="119" spans="5:6">
      <c r="E119">
        <v>0.67185866714758857</v>
      </c>
      <c r="F119">
        <v>0.32794707429990366</v>
      </c>
    </row>
    <row r="120" spans="5:6">
      <c r="E120">
        <v>0.6774588884196644</v>
      </c>
      <c r="F120">
        <v>0.32236207675739098</v>
      </c>
    </row>
    <row r="121" spans="5:6">
      <c r="E121">
        <v>0.68258157403560582</v>
      </c>
      <c r="F121">
        <v>0.3172487058919336</v>
      </c>
    </row>
    <row r="122" spans="5:6">
      <c r="E122">
        <v>0.6872504545566942</v>
      </c>
      <c r="F122">
        <v>0.31258596399559685</v>
      </c>
    </row>
    <row r="123" spans="5:6">
      <c r="E123">
        <v>0.69150397296170196</v>
      </c>
      <c r="F123">
        <v>0.30834226055665576</v>
      </c>
    </row>
    <row r="124" spans="5:6">
      <c r="E124">
        <v>0.69538863810195151</v>
      </c>
      <c r="F124">
        <v>0.30447855519964845</v>
      </c>
    </row>
    <row r="125" spans="5:6">
      <c r="E125">
        <v>0.69894391057540062</v>
      </c>
      <c r="F125">
        <v>0.30095042506063674</v>
      </c>
    </row>
    <row r="126" spans="5:6">
      <c r="E126">
        <v>0.70219258876366919</v>
      </c>
      <c r="F126">
        <v>0.29772451195755328</v>
      </c>
    </row>
    <row r="127" spans="5:6">
      <c r="E127">
        <v>0.70516285342369045</v>
      </c>
      <c r="F127">
        <v>0.29477029208623856</v>
      </c>
    </row>
    <row r="128" spans="5:6">
      <c r="E128">
        <v>0.70791779161386303</v>
      </c>
      <c r="F128">
        <v>0.29202710893162159</v>
      </c>
    </row>
    <row r="129" spans="5:6">
      <c r="E129">
        <v>0.71050039449537117</v>
      </c>
      <c r="F129">
        <v>0.28945294120316928</v>
      </c>
    </row>
    <row r="130" spans="5:6">
      <c r="E130">
        <v>0.71290123112984993</v>
      </c>
      <c r="F130">
        <v>0.28705732036370962</v>
      </c>
    </row>
    <row r="131" spans="5:6">
      <c r="E131">
        <v>0.71511705380610857</v>
      </c>
      <c r="F131">
        <v>0.28484510625740295</v>
      </c>
    </row>
    <row r="132" spans="5:6">
      <c r="E132">
        <v>0.71715861364212141</v>
      </c>
      <c r="F132">
        <v>0.28280641193093098</v>
      </c>
    </row>
    <row r="133" spans="5:6">
      <c r="E133">
        <v>0.71903294162974374</v>
      </c>
      <c r="F133">
        <v>0.28093495151865405</v>
      </c>
    </row>
    <row r="134" spans="5:6">
      <c r="E134">
        <v>0.72075270663980695</v>
      </c>
      <c r="F134">
        <v>0.27921895982339456</v>
      </c>
    </row>
    <row r="135" spans="5:6">
      <c r="E135">
        <v>0.72231491601625686</v>
      </c>
      <c r="F135">
        <v>0.27766187054303204</v>
      </c>
    </row>
    <row r="136" spans="5:6">
      <c r="E136">
        <v>0.72370191654675942</v>
      </c>
      <c r="F136">
        <v>0.27628183643752147</v>
      </c>
    </row>
    <row r="137" spans="5:6">
      <c r="E137">
        <v>0.72491440513420979</v>
      </c>
      <c r="F137">
        <v>0.27507818405489931</v>
      </c>
    </row>
    <row r="138" spans="5:6">
      <c r="E138">
        <v>0.72599231754161331</v>
      </c>
      <c r="F138">
        <v>0.27400768245838669</v>
      </c>
    </row>
    <row r="139" spans="5:6">
      <c r="E139">
        <v>0.726974970468941</v>
      </c>
      <c r="F139">
        <v>0.27302502953105906</v>
      </c>
    </row>
    <row r="140" spans="5:6">
      <c r="E140">
        <v>0.72786431079265246</v>
      </c>
      <c r="F140">
        <v>0.27213568920734765</v>
      </c>
    </row>
    <row r="141" spans="5:6">
      <c r="E141">
        <v>0.7286564871003478</v>
      </c>
      <c r="F141">
        <v>0.27134351289965225</v>
      </c>
    </row>
    <row r="142" spans="5:6">
      <c r="E142">
        <v>0.72936095069467233</v>
      </c>
      <c r="F142">
        <v>0.27063904930532778</v>
      </c>
    </row>
    <row r="143" spans="5:6">
      <c r="E143">
        <v>0.72996901283753868</v>
      </c>
      <c r="F143">
        <v>0.27003098716246127</v>
      </c>
    </row>
    <row r="144" spans="5:6">
      <c r="E144">
        <v>0.73047416530226228</v>
      </c>
      <c r="F144">
        <v>0.26952583469773767</v>
      </c>
    </row>
    <row r="145" spans="5:6">
      <c r="E145">
        <v>0.73089625224290145</v>
      </c>
      <c r="F145">
        <v>0.26910374775709855</v>
      </c>
    </row>
    <row r="146" spans="5:6">
      <c r="E146">
        <v>0.7312796359190783</v>
      </c>
      <c r="F146">
        <v>0.26872036408092181</v>
      </c>
    </row>
    <row r="147" spans="5:6">
      <c r="E147">
        <v>0.73164997092201434</v>
      </c>
      <c r="F147">
        <v>0.26835002907798566</v>
      </c>
    </row>
    <row r="148" spans="5:6">
      <c r="E148">
        <v>0.73199329983249584</v>
      </c>
      <c r="F148">
        <v>0.26800670016750416</v>
      </c>
    </row>
    <row r="149" spans="5:6">
      <c r="E149">
        <v>0.73229983108462438</v>
      </c>
      <c r="F149">
        <v>0.26770016891537562</v>
      </c>
    </row>
    <row r="150" spans="5:6">
      <c r="E150">
        <v>0.732581493590162</v>
      </c>
      <c r="F150">
        <v>0.26741850640983805</v>
      </c>
    </row>
    <row r="151" spans="5:6">
      <c r="E151">
        <v>0.73285864726847805</v>
      </c>
      <c r="F151">
        <v>0.2671413527315219</v>
      </c>
    </row>
    <row r="152" spans="5:6">
      <c r="E152">
        <v>0.7331416711371237</v>
      </c>
      <c r="F152">
        <v>0.26685832886287625</v>
      </c>
    </row>
    <row r="153" spans="5:6">
      <c r="E153">
        <v>0.73341696722596839</v>
      </c>
      <c r="F153">
        <v>0.26658303277403173</v>
      </c>
    </row>
    <row r="154" spans="5:6">
      <c r="E154">
        <v>0.73368329643559604</v>
      </c>
      <c r="F154">
        <v>0.26631670356440401</v>
      </c>
    </row>
    <row r="155" spans="5:6">
      <c r="E155">
        <v>0.73393569031449191</v>
      </c>
      <c r="F155">
        <v>0.26606430968550804</v>
      </c>
    </row>
    <row r="156" spans="5:6">
      <c r="E156">
        <v>0.7341425568966552</v>
      </c>
      <c r="F156">
        <v>0.26585744310334469</v>
      </c>
    </row>
    <row r="157" spans="5:6">
      <c r="E157">
        <v>0.73428644636675966</v>
      </c>
      <c r="F157">
        <v>0.26571355363324045</v>
      </c>
    </row>
    <row r="158" spans="5:6">
      <c r="E158">
        <v>0.7343901649951472</v>
      </c>
      <c r="F158">
        <v>0.2656098350048528</v>
      </c>
    </row>
    <row r="159" spans="5:6">
      <c r="E159">
        <v>0.73448217041109964</v>
      </c>
      <c r="F159">
        <v>0.2655178295889003</v>
      </c>
    </row>
    <row r="160" spans="5:6">
      <c r="E160">
        <v>0.73455951842228906</v>
      </c>
      <c r="F160">
        <v>0.265440481577711</v>
      </c>
    </row>
    <row r="161" spans="5:6">
      <c r="E161">
        <v>0.73462109471289894</v>
      </c>
      <c r="F161">
        <v>0.26537890528710095</v>
      </c>
    </row>
    <row r="162" spans="5:6">
      <c r="E162">
        <v>0.73467337801056731</v>
      </c>
      <c r="F162">
        <v>0.2653266219894328</v>
      </c>
    </row>
    <row r="163" spans="5:6">
      <c r="E163">
        <v>0.73469002325828081</v>
      </c>
      <c r="F163">
        <v>0.26530997674171924</v>
      </c>
    </row>
    <row r="164" spans="5:6">
      <c r="E164">
        <v>0.73469000650135696</v>
      </c>
      <c r="F164">
        <v>0.26530999349864304</v>
      </c>
    </row>
    <row r="165" spans="5:6">
      <c r="E165">
        <v>0.73468999733935991</v>
      </c>
      <c r="F165">
        <v>0.26531000266064003</v>
      </c>
    </row>
    <row r="166" spans="5:6">
      <c r="E166">
        <v>0.73469000177994792</v>
      </c>
      <c r="F166">
        <v>0.26530999822005213</v>
      </c>
    </row>
    <row r="167" spans="5:6">
      <c r="E167">
        <v>0.73468999752454311</v>
      </c>
      <c r="F167">
        <v>0.26531000247545689</v>
      </c>
    </row>
    <row r="168" spans="5:6">
      <c r="E168">
        <v>0.73468998823297438</v>
      </c>
      <c r="F168">
        <v>0.26531001176702557</v>
      </c>
    </row>
    <row r="169" spans="5:6">
      <c r="E169">
        <v>0.7346900167990783</v>
      </c>
      <c r="F169">
        <v>0.26530998320092164</v>
      </c>
    </row>
    <row r="170" spans="5:6">
      <c r="E170">
        <v>0.73468999251546707</v>
      </c>
      <c r="F170">
        <v>0.26531000748453293</v>
      </c>
    </row>
    <row r="171" spans="5:6">
      <c r="E171">
        <v>0.73469001758965224</v>
      </c>
      <c r="F171">
        <v>0.26530998241034764</v>
      </c>
    </row>
    <row r="172" spans="5:6">
      <c r="E172">
        <v>0.73468998337311942</v>
      </c>
      <c r="F172">
        <v>0.26531001662688053</v>
      </c>
    </row>
    <row r="173" spans="5:6">
      <c r="E173">
        <v>0.73469000414816099</v>
      </c>
      <c r="F173">
        <v>0.2653099958518389</v>
      </c>
    </row>
    <row r="174" spans="5:6">
      <c r="E174">
        <v>0.73468993156634477</v>
      </c>
      <c r="F174">
        <v>0.26531006843365523</v>
      </c>
    </row>
    <row r="175" spans="5:6">
      <c r="E175">
        <v>0.73469005509968044</v>
      </c>
      <c r="F175">
        <v>0.26530994490031956</v>
      </c>
    </row>
    <row r="176" spans="5:6">
      <c r="E176">
        <v>0.73468989170882604</v>
      </c>
      <c r="F176">
        <v>0.26531010829117396</v>
      </c>
    </row>
    <row r="177" spans="5:6">
      <c r="E177">
        <v>0.73469003003178435</v>
      </c>
      <c r="F177">
        <v>0.26530996996821571</v>
      </c>
    </row>
    <row r="178" spans="5:6">
      <c r="E178">
        <v>0.73468995204520882</v>
      </c>
      <c r="F178">
        <v>0.26531004795479113</v>
      </c>
    </row>
    <row r="179" spans="5:6">
      <c r="E179">
        <v>0.73468987129847529</v>
      </c>
      <c r="F179">
        <v>0.26531012870152471</v>
      </c>
    </row>
    <row r="180" spans="5:6">
      <c r="E180">
        <v>0.73469028384845769</v>
      </c>
      <c r="F180">
        <v>0.26530971615154236</v>
      </c>
    </row>
    <row r="181" spans="5:6">
      <c r="E181">
        <v>0.73468974464449577</v>
      </c>
      <c r="F181">
        <v>0.26531025535550418</v>
      </c>
    </row>
    <row r="182" spans="5:6">
      <c r="E182">
        <v>0.73468964580756679</v>
      </c>
      <c r="F182">
        <v>0.26531035419243315</v>
      </c>
    </row>
    <row r="183" spans="5:6">
      <c r="E183">
        <v>0.7346901186974264</v>
      </c>
      <c r="F183">
        <v>0.26530988130257355</v>
      </c>
    </row>
    <row r="184" spans="5:6">
      <c r="E184">
        <v>0.7346895900581818</v>
      </c>
      <c r="F184">
        <v>0.26531040994181826</v>
      </c>
    </row>
    <row r="185" spans="5:6">
      <c r="E185">
        <v>0.73468945929399831</v>
      </c>
      <c r="F185">
        <v>0.2653105407060018</v>
      </c>
    </row>
    <row r="186" spans="5:6">
      <c r="E186">
        <v>0.73469028547137982</v>
      </c>
      <c r="F186">
        <v>0.26530971452862018</v>
      </c>
    </row>
    <row r="187" spans="5:6">
      <c r="E187">
        <v>0.73468921871612924</v>
      </c>
      <c r="F187">
        <v>0.26531078128387076</v>
      </c>
    </row>
    <row r="188" spans="5:6">
      <c r="E188">
        <v>0.73468995204520882</v>
      </c>
      <c r="F188">
        <v>0.26531004795479118</v>
      </c>
    </row>
    <row r="189" spans="5:6">
      <c r="E189">
        <v>0.73469071155543231</v>
      </c>
      <c r="F189">
        <v>0.26530928844456764</v>
      </c>
    </row>
    <row r="190" spans="5:6">
      <c r="E190">
        <v>0.73468958629028014</v>
      </c>
      <c r="F190">
        <v>0.26531041370971986</v>
      </c>
    </row>
    <row r="191" spans="5:6">
      <c r="E191">
        <v>0.73468915720807992</v>
      </c>
      <c r="F191">
        <v>0.26531084279192008</v>
      </c>
    </row>
    <row r="192" spans="5:6">
      <c r="E192">
        <v>0.73469049919732676</v>
      </c>
      <c r="F192">
        <v>0.26530950080267329</v>
      </c>
    </row>
    <row r="193" spans="5:6">
      <c r="E193">
        <v>0.73469053862242484</v>
      </c>
      <c r="F193">
        <v>0.26530946137757516</v>
      </c>
    </row>
    <row r="194" spans="5:6">
      <c r="E194">
        <v>0.73468869381451685</v>
      </c>
      <c r="F194">
        <v>0.26531130618548321</v>
      </c>
    </row>
    <row r="195" spans="5:6">
      <c r="E195">
        <v>0.73469197134834408</v>
      </c>
      <c r="F195">
        <v>0.26530802865165587</v>
      </c>
    </row>
    <row r="196" spans="5:6">
      <c r="E196">
        <v>0.73469114027616633</v>
      </c>
      <c r="F196">
        <v>0.26530885972383361</v>
      </c>
    </row>
    <row r="197" spans="5:6">
      <c r="E197">
        <v>0.73468727617199225</v>
      </c>
      <c r="F197">
        <v>0.26531272382800769</v>
      </c>
    </row>
    <row r="198" spans="5:6">
      <c r="E198">
        <v>0.73468936546539909</v>
      </c>
      <c r="F198">
        <v>0.26531063453460096</v>
      </c>
    </row>
    <row r="199" spans="5:6">
      <c r="E199">
        <v>0.73468662054111167</v>
      </c>
      <c r="F199">
        <v>0.26531337945888833</v>
      </c>
    </row>
    <row r="200" spans="5:6">
      <c r="E200">
        <v>0.7346852999894925</v>
      </c>
      <c r="F200">
        <v>0.2653147000105075</v>
      </c>
    </row>
    <row r="201" spans="5:6">
      <c r="E201">
        <v>0.73468456988021291</v>
      </c>
      <c r="F201">
        <v>0.26531543011978698</v>
      </c>
    </row>
    <row r="202" spans="5:6">
      <c r="E202">
        <v>0.73469041822048264</v>
      </c>
      <c r="F202">
        <v>0.26530958177951741</v>
      </c>
    </row>
    <row r="203" spans="5:6">
      <c r="E203">
        <v>0.73468646265131876</v>
      </c>
      <c r="F203">
        <v>0.26531353734868129</v>
      </c>
    </row>
    <row r="204" spans="5:6">
      <c r="E204">
        <v>0.17411223442634155</v>
      </c>
      <c r="F204">
        <v>4.963725981452719E-3</v>
      </c>
    </row>
  </sheetData>
  <mergeCells count="2">
    <mergeCell ref="A1:C1"/>
    <mergeCell ref="E1:F1"/>
  </mergeCells>
  <phoneticPr fontId="8"/>
  <pageMargins left="0.7" right="0.7" top="0.75" bottom="0.75" header="0.3" footer="0.3"/>
  <pageSetup scale="85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4"/>
  <sheetViews>
    <sheetView topLeftCell="A23" workbookViewId="0">
      <selection activeCell="K39" sqref="K39:L41"/>
    </sheetView>
  </sheetViews>
  <sheetFormatPr defaultColWidth="8.81640625" defaultRowHeight="14.5"/>
  <cols>
    <col min="11" max="12" width="8.81640625" style="52"/>
  </cols>
  <sheetData>
    <row r="1" spans="1:12">
      <c r="A1" s="100" t="s">
        <v>11</v>
      </c>
      <c r="B1" s="100"/>
      <c r="C1" s="100"/>
      <c r="E1" s="100" t="s">
        <v>10</v>
      </c>
      <c r="F1" s="100"/>
    </row>
    <row r="2" spans="1:12">
      <c r="A2" s="44" t="s">
        <v>7</v>
      </c>
      <c r="B2" s="44" t="s">
        <v>4</v>
      </c>
      <c r="C2" s="44" t="s">
        <v>5</v>
      </c>
      <c r="E2" s="44" t="s">
        <v>4</v>
      </c>
      <c r="F2" s="44" t="s">
        <v>5</v>
      </c>
    </row>
    <row r="3" spans="1:12" ht="15.5">
      <c r="A3" s="44">
        <v>1000</v>
      </c>
      <c r="B3" s="49">
        <f>4*References!B3/(-2*References!B3+12*References!C3+3)</f>
        <v>0.44293746805247919</v>
      </c>
      <c r="C3" s="49">
        <f>9*References!C3/(-2*References!B3+12*References!C3+3)</f>
        <v>0.53273130005111602</v>
      </c>
      <c r="E3" s="49">
        <f>4*References!E3/(-2*References!E3+12*References!F3+3)</f>
        <v>0.2568651940761591</v>
      </c>
      <c r="F3" s="49">
        <f>9*References!F3/(-2*References!E3+12*References!F3+3)</f>
        <v>1.647655027791152E-2</v>
      </c>
      <c r="I3" s="8" t="s">
        <v>8</v>
      </c>
      <c r="J3" s="9"/>
      <c r="K3" s="53"/>
      <c r="L3" s="54"/>
    </row>
    <row r="4" spans="1:12">
      <c r="A4" s="44">
        <v>2000</v>
      </c>
      <c r="B4" s="49">
        <f>4*References!B4/(-2*References!B4+12*References!C4+3)</f>
        <v>0.30295361076759364</v>
      </c>
      <c r="C4" s="49">
        <f>9*References!C4/(-2*References!B4+12*References!C4+3)</f>
        <v>0.54006212073279458</v>
      </c>
      <c r="E4" s="49">
        <f>4*References!E4/(-2*References!E4+12*References!F4+3)</f>
        <v>0.25678911891273243</v>
      </c>
      <c r="F4" s="49">
        <f>9*References!F4/(-2*References!E4+12*References!F4+3)</f>
        <v>1.6504826323383272E-2</v>
      </c>
      <c r="I4" s="12"/>
      <c r="J4" s="6"/>
      <c r="K4" s="50" t="s">
        <v>27</v>
      </c>
      <c r="L4" s="51" t="s">
        <v>28</v>
      </c>
    </row>
    <row r="5" spans="1:12">
      <c r="A5" s="44">
        <v>3000</v>
      </c>
      <c r="B5" s="49">
        <f>4*References!B5/(-2*References!B5+12*References!C5+3)</f>
        <v>0.24944573929850494</v>
      </c>
      <c r="C5" s="49">
        <f>9*References!C5/(-2*References!B5+12*References!C5+3)</f>
        <v>0.52377636291285312</v>
      </c>
      <c r="E5" s="49">
        <f>4*References!E5/(-2*References!E5+12*References!F5+3)</f>
        <v>0.25671352719901314</v>
      </c>
      <c r="F5" s="49">
        <f>9*References!F5/(-2*References!E5+12*References!F5+3)</f>
        <v>1.6547690134642769E-2</v>
      </c>
      <c r="I5" s="12" t="s">
        <v>0</v>
      </c>
      <c r="J5" s="6"/>
      <c r="K5" s="55">
        <f>4*References!K5/(-2*References!K5+12*References!L5+3)</f>
        <v>0.45070422535211269</v>
      </c>
      <c r="L5" s="56">
        <f>9*References!L5/(-2*References!K5+12*References!L5+3)</f>
        <v>0.522887323943662</v>
      </c>
    </row>
    <row r="6" spans="1:12">
      <c r="A6" s="3">
        <v>4000</v>
      </c>
      <c r="B6" s="49">
        <f>4*References!B6/(-2*References!B6+12*References!C6+3)</f>
        <v>0.22450356378142139</v>
      </c>
      <c r="C6" s="49">
        <f>9*References!C6/(-2*References!B6+12*References!C6+3)</f>
        <v>0.50420907517672253</v>
      </c>
      <c r="E6" s="49">
        <f>4*References!E6/(-2*References!E6+12*References!F6+3)</f>
        <v>0.2566312595455052</v>
      </c>
      <c r="F6" s="49">
        <f>9*References!F6/(-2*References!E6+12*References!F6+3)</f>
        <v>1.647595794771211E-2</v>
      </c>
      <c r="I6" s="12" t="s">
        <v>1</v>
      </c>
      <c r="J6" s="6"/>
      <c r="K6" s="55">
        <f>4*References!K6/(-2*References!K6+12*References!L6+3)</f>
        <v>0.125</v>
      </c>
      <c r="L6" s="56">
        <f>9*References!L6/(-2*References!K6+12*References!L6+3)</f>
        <v>0.5625</v>
      </c>
    </row>
    <row r="7" spans="1:12">
      <c r="A7" s="3">
        <v>5000</v>
      </c>
      <c r="B7" s="49">
        <f>4*References!B7/(-2*References!B7+12*References!C7+3)</f>
        <v>0.21116954975222693</v>
      </c>
      <c r="C7" s="49">
        <f>9*References!C7/(-2*References!B7+12*References!C7+3)</f>
        <v>0.48717052260359356</v>
      </c>
      <c r="E7" s="49">
        <f>4*References!E7/(-2*References!E7+12*References!F7+3)</f>
        <v>0.25653646675843578</v>
      </c>
      <c r="F7" s="49">
        <f>9*References!F7/(-2*References!E7+12*References!F7+3)</f>
        <v>1.6351491352841235E-2</v>
      </c>
      <c r="I7" s="12" t="s">
        <v>2</v>
      </c>
      <c r="J7" s="6"/>
      <c r="K7" s="55">
        <f>4*References!K7/(-2*References!K7+12*References!L7+3)</f>
        <v>0.17543859649122806</v>
      </c>
      <c r="L7" s="56">
        <f>9*References!L7/(-2*References!K7+12*References!L7+3)</f>
        <v>0.15789473684210528</v>
      </c>
    </row>
    <row r="8" spans="1:12">
      <c r="A8" s="3">
        <v>6000</v>
      </c>
      <c r="B8" s="49">
        <f>4*References!B8/(-2*References!B8+12*References!C8+3)</f>
        <v>0.2033366783743101</v>
      </c>
      <c r="C8" s="49">
        <f>9*References!C8/(-2*References!B8+12*References!C8+3)</f>
        <v>0.47345396387355754</v>
      </c>
      <c r="E8" s="49">
        <f>4*References!E8/(-2*References!E8+12*References!F8+3)</f>
        <v>0.25640161811598594</v>
      </c>
      <c r="F8" s="49">
        <f>9*References!F8/(-2*References!E8+12*References!F8+3)</f>
        <v>1.6315917249897765E-2</v>
      </c>
      <c r="I8" s="15" t="s">
        <v>0</v>
      </c>
      <c r="J8" s="16"/>
      <c r="K8" s="57">
        <f>4*References!K8/(-2*References!K8+12*References!L8+3)</f>
        <v>0.45070422535211269</v>
      </c>
      <c r="L8" s="58">
        <f>9*References!L8/(-2*References!K8+12*References!L8+3)</f>
        <v>0.522887323943662</v>
      </c>
    </row>
    <row r="9" spans="1:12">
      <c r="A9" s="3">
        <v>7000</v>
      </c>
      <c r="B9" s="49">
        <f>4*References!B9/(-2*References!B9+12*References!C9+3)</f>
        <v>0.19834657573905493</v>
      </c>
      <c r="C9" s="49">
        <f>9*References!C9/(-2*References!B9+12*References!C9+3)</f>
        <v>0.46249236015054529</v>
      </c>
      <c r="E9" s="49">
        <f>4*References!E9/(-2*References!E9+12*References!F9+3)</f>
        <v>0.2562182232777015</v>
      </c>
      <c r="F9" s="49">
        <f>9*References!F9/(-2*References!E9+12*References!F9+3)</f>
        <v>1.6385176068164396E-2</v>
      </c>
      <c r="I9" s="7"/>
      <c r="J9" s="7"/>
      <c r="K9" s="59"/>
      <c r="L9" s="59"/>
    </row>
    <row r="10" spans="1:12">
      <c r="A10" s="3">
        <v>8000</v>
      </c>
      <c r="B10" s="49">
        <f>4*References!B10/(-2*References!B10+12*References!C10+3)</f>
        <v>0.19503546099290778</v>
      </c>
      <c r="C10" s="49">
        <f>9*References!C10/(-2*References!B10+12*References!C10+3)</f>
        <v>0.45375295508274227</v>
      </c>
      <c r="E10" s="49">
        <f>4*References!E10/(-2*References!E10+12*References!F10+3)</f>
        <v>0.25604977603297752</v>
      </c>
      <c r="F10" s="49">
        <f>9*References!F10/(-2*References!E10+12*References!F10+3)</f>
        <v>1.6393054539621348E-2</v>
      </c>
      <c r="I10" s="7"/>
      <c r="J10" s="7"/>
      <c r="K10" s="59"/>
      <c r="L10" s="59"/>
    </row>
    <row r="11" spans="1:12">
      <c r="A11" s="3">
        <v>9000</v>
      </c>
      <c r="B11" s="49">
        <f>4*References!B11/(-2*References!B11+12*References!C11+3)</f>
        <v>0.19270433534692791</v>
      </c>
      <c r="C11" s="49">
        <f>9*References!C11/(-2*References!B11+12*References!C11+3)</f>
        <v>0.44680105463404868</v>
      </c>
      <c r="E11" s="49">
        <f>4*References!E11/(-2*References!E11+12*References!F11+3)</f>
        <v>0.25594776817414189</v>
      </c>
      <c r="F11" s="49">
        <f>9*References!F11/(-2*References!E11+12*References!F11+3)</f>
        <v>1.6247669376255464E-2</v>
      </c>
      <c r="I11" s="7"/>
      <c r="J11" s="7"/>
      <c r="K11" s="59"/>
      <c r="L11" s="59"/>
    </row>
    <row r="12" spans="1:12" ht="15.5">
      <c r="A12" s="3">
        <v>10000</v>
      </c>
      <c r="B12" s="49">
        <f>4*References!B12/(-2*References!B12+12*References!C12+3)</f>
        <v>0.19104316060073062</v>
      </c>
      <c r="C12" s="49">
        <f>9*References!C12/(-2*References!B12+12*References!C12+3)</f>
        <v>0.441110810445136</v>
      </c>
      <c r="E12" s="49">
        <f>4*References!E12/(-2*References!E12+12*References!F12+3)</f>
        <v>0.25586368751552002</v>
      </c>
      <c r="F12" s="49">
        <f>9*References!F12/(-2*References!E12+12*References!F12+3)</f>
        <v>1.6054512807353347E-2</v>
      </c>
      <c r="I12" s="8" t="s">
        <v>9</v>
      </c>
      <c r="J12" s="9"/>
      <c r="K12" s="53"/>
      <c r="L12" s="54"/>
    </row>
    <row r="13" spans="1:12">
      <c r="A13" s="3">
        <v>11000</v>
      </c>
      <c r="B13" s="49">
        <f>4*References!B13/(-2*References!B13+12*References!C13+3)</f>
        <v>0.1897271048491895</v>
      </c>
      <c r="C13" s="49">
        <f>9*References!C13/(-2*References!B13+12*References!C13+3)</f>
        <v>0.43642705697284728</v>
      </c>
      <c r="E13" s="49">
        <f>4*References!E13/(-2*References!E13+12*References!F13+3)</f>
        <v>0.25576404078230014</v>
      </c>
      <c r="F13" s="49">
        <f>9*References!F13/(-2*References!E13+12*References!F13+3)</f>
        <v>1.5924930841162085E-2</v>
      </c>
      <c r="I13" s="12"/>
      <c r="J13" s="6"/>
      <c r="K13" s="50" t="s">
        <v>27</v>
      </c>
      <c r="L13" s="51" t="s">
        <v>28</v>
      </c>
    </row>
    <row r="14" spans="1:12">
      <c r="A14" s="3">
        <v>12000</v>
      </c>
      <c r="B14" s="49">
        <f>4*References!B14/(-2*References!B14+12*References!C14+3)</f>
        <v>0.18870789618995026</v>
      </c>
      <c r="C14" s="49">
        <f>9*References!C14/(-2*References!B14+12*References!C14+3)</f>
        <v>0.43251311430149092</v>
      </c>
      <c r="E14" s="49">
        <f>4*References!E14/(-2*References!E14+12*References!F14+3)</f>
        <v>0.25561958842232629</v>
      </c>
      <c r="F14" s="49">
        <f>9*References!F14/(-2*References!E14+12*References!F14+3)</f>
        <v>1.5865747332326898E-2</v>
      </c>
      <c r="I14" s="12" t="s">
        <v>0</v>
      </c>
      <c r="J14" s="6"/>
      <c r="K14" s="55">
        <f>4*References!K14/(-2*References!K14+12*References!L14+3)</f>
        <v>0.45070422535211269</v>
      </c>
      <c r="L14" s="56">
        <f>9*References!L14/(-2*References!K14+12*References!L14+3)</f>
        <v>0.522887323943662</v>
      </c>
    </row>
    <row r="15" spans="1:12">
      <c r="A15" s="3">
        <v>13000</v>
      </c>
      <c r="B15" s="49">
        <f>4*References!B15/(-2*References!B15+12*References!C15+3)</f>
        <v>0.18796521739130434</v>
      </c>
      <c r="C15" s="49">
        <f>9*References!C15/(-2*References!B15+12*References!C15+3)</f>
        <v>0.42918260869565217</v>
      </c>
      <c r="E15" s="49">
        <f>4*References!E15/(-2*References!E15+12*References!F15+3)</f>
        <v>0.25539726569773297</v>
      </c>
      <c r="F15" s="49">
        <f>9*References!F15/(-2*References!E15+12*References!F15+3)</f>
        <v>1.584836945594565E-2</v>
      </c>
      <c r="I15" s="12" t="s">
        <v>1</v>
      </c>
      <c r="J15" s="6"/>
      <c r="K15" s="55">
        <f>4*References!K15/(-2*References!K15+12*References!L15+3)</f>
        <v>7.567567567567568E-2</v>
      </c>
      <c r="L15" s="56">
        <f>9*References!L15/(-2*References!K15+12*References!L15+3)</f>
        <v>0.57567567567567568</v>
      </c>
    </row>
    <row r="16" spans="1:12">
      <c r="A16" s="3">
        <v>14000</v>
      </c>
      <c r="B16" s="49">
        <f>4*References!B16/(-2*References!B16+12*References!C16+3)</f>
        <v>0.18727902824937867</v>
      </c>
      <c r="C16" s="49">
        <f>9*References!C16/(-2*References!B16+12*References!C16+3)</f>
        <v>0.42641859488220674</v>
      </c>
      <c r="E16" s="49">
        <f>4*References!E16/(-2*References!E16+12*References!F16+3)</f>
        <v>0.25511181540270333</v>
      </c>
      <c r="F16" s="49">
        <f>9*References!F16/(-2*References!E16+12*References!F16+3)</f>
        <v>1.5869533908734461E-2</v>
      </c>
      <c r="I16" s="12" t="s">
        <v>2</v>
      </c>
      <c r="J16" s="6"/>
      <c r="K16" s="55">
        <f>4*References!K16/(-2*References!K16+12*References!L16+3)</f>
        <v>0.17543859649122806</v>
      </c>
      <c r="L16" s="56">
        <f>9*References!L16/(-2*References!K16+12*References!L16+3)</f>
        <v>0.15789473684210528</v>
      </c>
    </row>
    <row r="17" spans="1:23">
      <c r="A17" s="3">
        <v>15000</v>
      </c>
      <c r="B17" s="49">
        <f>4*References!B17/(-2*References!B17+12*References!C17+3)</f>
        <v>0.18681125233250007</v>
      </c>
      <c r="C17" s="49">
        <f>9*References!C17/(-2*References!B17+12*References!C17+3)</f>
        <v>0.42396929901770936</v>
      </c>
      <c r="E17" s="49">
        <f>4*References!E17/(-2*References!E17+12*References!F17+3)</f>
        <v>0.25478742766476403</v>
      </c>
      <c r="F17" s="49">
        <f>9*References!F17/(-2*References!E17+12*References!F17+3)</f>
        <v>1.5924609033555789E-2</v>
      </c>
      <c r="I17" s="15" t="s">
        <v>0</v>
      </c>
      <c r="J17" s="16"/>
      <c r="K17" s="57">
        <f>4*References!K17/(-2*References!K17+12*References!L17+3)</f>
        <v>0.45070422535211269</v>
      </c>
      <c r="L17" s="58">
        <f>9*References!L17/(-2*References!K17+12*References!L17+3)</f>
        <v>0.522887323943662</v>
      </c>
    </row>
    <row r="18" spans="1:23">
      <c r="A18" s="4">
        <v>16000</v>
      </c>
      <c r="B18" s="49">
        <f>4*References!B18/(-2*References!B18+12*References!C18+3)</f>
        <v>0.1863723201018892</v>
      </c>
      <c r="C18" s="49">
        <f>9*References!C18/(-2*References!B18+12*References!C18+3)</f>
        <v>0.42188495011674809</v>
      </c>
      <c r="E18" s="49">
        <f>4*References!E18/(-2*References!E18+12*References!F18+3)</f>
        <v>0.25449653437838154</v>
      </c>
      <c r="F18" s="49">
        <f>9*References!F18/(-2*References!E18+12*References!F18+3)</f>
        <v>1.5924311993682914E-2</v>
      </c>
    </row>
    <row r="19" spans="1:23">
      <c r="A19" s="4">
        <v>17000</v>
      </c>
      <c r="B19" s="49">
        <f>4*References!B19/(-2*References!B19+12*References!C19+3)</f>
        <v>0.1860432063672541</v>
      </c>
      <c r="C19" s="49">
        <f>9*References!C19/(-2*References!B19+12*References!C19+3)</f>
        <v>0.42003624218305857</v>
      </c>
      <c r="E19" s="49">
        <f>4*References!E19/(-2*References!E19+12*References!F19+3)</f>
        <v>0.25419935790668635</v>
      </c>
      <c r="F19" s="49">
        <f>9*References!F19/(-2*References!E19+12*References!F19+3)</f>
        <v>1.5911850674220157E-2</v>
      </c>
    </row>
    <row r="20" spans="1:23">
      <c r="A20" s="4">
        <v>18000</v>
      </c>
      <c r="B20" s="49">
        <f>4*References!B20/(-2*References!B20+12*References!C20+3)</f>
        <v>0.185747913545902</v>
      </c>
      <c r="C20" s="49">
        <f>9*References!C20/(-2*References!B20+12*References!C20+3)</f>
        <v>0.41841429488551252</v>
      </c>
      <c r="E20" s="49">
        <f>4*References!E20/(-2*References!E20+12*References!F20+3)</f>
        <v>0.2538405651238726</v>
      </c>
      <c r="F20" s="49">
        <f>9*References!F20/(-2*References!E20+12*References!F20+3)</f>
        <v>1.5970392981546035E-2</v>
      </c>
    </row>
    <row r="21" spans="1:23" ht="15.5">
      <c r="E21" s="49">
        <f>4*References!E21/(-2*References!E21+12*References!F21+3)</f>
        <v>0.25344692652162237</v>
      </c>
      <c r="F21" s="49">
        <f>9*References!F21/(-2*References!E21+12*References!F21+3)</f>
        <v>1.6098135174015132E-2</v>
      </c>
      <c r="I21" s="8" t="s">
        <v>12</v>
      </c>
      <c r="J21" s="9"/>
      <c r="K21" s="53"/>
      <c r="L21" s="54"/>
    </row>
    <row r="22" spans="1:23">
      <c r="B22" t="s">
        <v>13</v>
      </c>
      <c r="E22" s="49">
        <f>4*References!E22/(-2*References!E22+12*References!F22+3)</f>
        <v>0.25295216699332895</v>
      </c>
      <c r="F22" s="49">
        <f>9*References!F22/(-2*References!E22+12*References!F22+3)</f>
        <v>1.6368717492125016E-2</v>
      </c>
      <c r="I22" s="12"/>
      <c r="J22" s="6"/>
      <c r="K22" s="50" t="s">
        <v>27</v>
      </c>
      <c r="L22" s="51" t="s">
        <v>28</v>
      </c>
    </row>
    <row r="23" spans="1:23">
      <c r="B23" s="19">
        <f>4*References!B23/(-2*References!B23+12*References!C23+3)</f>
        <v>0.19783000664283679</v>
      </c>
      <c r="C23" s="19">
        <f>9*References!C23/(-2*References!B23+12*References!C23+3)</f>
        <v>0.46831999493879101</v>
      </c>
      <c r="E23" s="49">
        <f>4*References!E23/(-2*References!E23+12*References!F23+3)</f>
        <v>0.25221708161675693</v>
      </c>
      <c r="F23" s="49">
        <f>9*References!F23/(-2*References!E23+12*References!F23+3)</f>
        <v>1.6892050413386015E-2</v>
      </c>
      <c r="I23" s="12" t="s">
        <v>0</v>
      </c>
      <c r="J23" s="6"/>
      <c r="K23" s="55">
        <f>4*References!K23/(-2*References!K23+12*References!L23+3)</f>
        <v>0.49635036496350371</v>
      </c>
      <c r="L23" s="56">
        <f>9*References!L23/(-2*References!K23+12*References!L23+3)</f>
        <v>0.52554744525547448</v>
      </c>
    </row>
    <row r="24" spans="1:23">
      <c r="E24" s="49">
        <f>4*References!E24/(-2*References!E24+12*References!F24+3)</f>
        <v>0.25127289971831335</v>
      </c>
      <c r="F24" s="49">
        <f>9*References!F24/(-2*References!E24+12*References!F24+3)</f>
        <v>1.7635850981573577E-2</v>
      </c>
      <c r="I24" s="12" t="s">
        <v>1</v>
      </c>
      <c r="J24" s="6"/>
      <c r="K24" s="55">
        <f>4*References!K24/(-2*References!K24+12*References!L24+3)</f>
        <v>9.8604651162790699E-2</v>
      </c>
      <c r="L24" s="56">
        <f>9*References!L24/(-2*References!K24+12*References!L24+3)</f>
        <v>0.57767441860465107</v>
      </c>
    </row>
    <row r="25" spans="1:23">
      <c r="E25" s="49">
        <f>4*References!E25/(-2*References!E25+12*References!F25+3)</f>
        <v>0.25020909443308037</v>
      </c>
      <c r="F25" s="49">
        <f>9*References!F25/(-2*References!E25+12*References!F25+3)</f>
        <v>1.8555340452601418E-2</v>
      </c>
      <c r="I25" s="12" t="s">
        <v>2</v>
      </c>
      <c r="J25" s="6"/>
      <c r="K25" s="55">
        <f>4*References!K25/(-2*References!K25+12*References!L25+3)</f>
        <v>0.17543859649122806</v>
      </c>
      <c r="L25" s="56">
        <f>9*References!L25/(-2*References!K25+12*References!L25+3)</f>
        <v>0.15789473684210528</v>
      </c>
      <c r="P25" s="24"/>
      <c r="Q25" s="24"/>
      <c r="R25" s="24"/>
      <c r="S25" s="24"/>
      <c r="T25" s="24"/>
      <c r="U25" s="24"/>
      <c r="V25" s="24"/>
      <c r="W25" s="24"/>
    </row>
    <row r="26" spans="1:23">
      <c r="E26" s="49">
        <f>4*References!E26/(-2*References!E26+12*References!F26+3)</f>
        <v>0.24901303825009702</v>
      </c>
      <c r="F26" s="49">
        <f>9*References!F26/(-2*References!E26+12*References!F26+3)</f>
        <v>1.968272191553349E-2</v>
      </c>
      <c r="I26" s="15" t="s">
        <v>0</v>
      </c>
      <c r="J26" s="16"/>
      <c r="K26" s="57">
        <f>4*References!K26/(-2*References!K26+12*References!L26+3)</f>
        <v>0.49635036496350371</v>
      </c>
      <c r="L26" s="58">
        <f>9*References!L26/(-2*References!K26+12*References!L26+3)</f>
        <v>0.52554744525547448</v>
      </c>
      <c r="P26" s="7"/>
      <c r="Q26" s="7"/>
      <c r="R26" s="7"/>
      <c r="S26" s="7"/>
      <c r="T26" s="7"/>
      <c r="U26" s="7"/>
      <c r="V26" s="7"/>
      <c r="W26" s="7"/>
    </row>
    <row r="27" spans="1:23">
      <c r="E27" s="49">
        <f>4*References!E27/(-2*References!E27+12*References!F27+3)</f>
        <v>0.24765378179826195</v>
      </c>
      <c r="F27" s="49">
        <f>9*References!F27/(-2*References!E27+12*References!F27+3)</f>
        <v>2.1032588660749252E-2</v>
      </c>
      <c r="P27" s="7"/>
      <c r="Q27" s="7"/>
      <c r="R27" s="7"/>
      <c r="S27" s="7"/>
      <c r="T27" s="7"/>
      <c r="U27" s="7"/>
      <c r="V27" s="7"/>
      <c r="W27" s="7"/>
    </row>
    <row r="28" spans="1:23">
      <c r="E28" s="49">
        <f>4*References!E28/(-2*References!E28+12*References!F28+3)</f>
        <v>0.24608316900340219</v>
      </c>
      <c r="F28" s="49">
        <f>9*References!F28/(-2*References!E28+12*References!F28+3)</f>
        <v>2.2623355797776672E-2</v>
      </c>
      <c r="P28" s="7"/>
      <c r="Q28" s="25"/>
      <c r="R28" s="25"/>
      <c r="S28" s="25"/>
      <c r="T28" s="25"/>
      <c r="U28" s="25"/>
      <c r="V28" s="25"/>
      <c r="W28" s="7"/>
    </row>
    <row r="29" spans="1:23" ht="15.5">
      <c r="E29" s="49">
        <f>4*References!E29/(-2*References!E29+12*References!F29+3)</f>
        <v>0.24425682445900082</v>
      </c>
      <c r="F29" s="49">
        <f>9*References!F29/(-2*References!E29+12*References!F29+3)</f>
        <v>2.4482938056391131E-2</v>
      </c>
      <c r="I29" s="8">
        <v>2020</v>
      </c>
      <c r="J29" s="9"/>
      <c r="K29" s="53"/>
      <c r="L29" s="54"/>
      <c r="P29" s="7"/>
      <c r="Q29" s="7"/>
      <c r="R29" s="7"/>
      <c r="S29" s="7"/>
      <c r="T29" s="7"/>
      <c r="U29" s="7"/>
      <c r="V29" s="7"/>
      <c r="W29" s="7"/>
    </row>
    <row r="30" spans="1:23">
      <c r="E30" s="49">
        <f>4*References!E30/(-2*References!E30+12*References!F30+3)</f>
        <v>0.24220222995088764</v>
      </c>
      <c r="F30" s="49">
        <f>9*References!F30/(-2*References!E30+12*References!F30+3)</f>
        <v>2.6625647822812064E-2</v>
      </c>
      <c r="I30" s="12"/>
      <c r="J30" s="6"/>
      <c r="K30" s="50" t="s">
        <v>27</v>
      </c>
      <c r="L30" s="51" t="s">
        <v>28</v>
      </c>
      <c r="P30" s="7"/>
      <c r="Q30" s="7"/>
      <c r="R30" s="7"/>
      <c r="S30" s="7"/>
      <c r="T30" s="7"/>
      <c r="U30" s="7"/>
      <c r="V30" s="7"/>
      <c r="W30" s="7"/>
    </row>
    <row r="31" spans="1:23">
      <c r="E31" s="49">
        <f>4*References!E31/(-2*References!E31+12*References!F31+3)</f>
        <v>0.23995029061699519</v>
      </c>
      <c r="F31" s="49">
        <f>9*References!F31/(-2*References!E31+12*References!F31+3)</f>
        <v>2.9077082538039846E-2</v>
      </c>
      <c r="I31" s="12" t="s">
        <v>0</v>
      </c>
      <c r="J31" s="6"/>
      <c r="K31" s="55">
        <f>4*References!K31/(-2*References!K31+12*References!L31+3)</f>
        <v>0.55660377358490576</v>
      </c>
      <c r="L31" s="56">
        <f>9*References!L31/(-2*References!K31+12*References!L31+3)</f>
        <v>0.51650943396226412</v>
      </c>
      <c r="P31" s="7"/>
      <c r="Q31" s="7"/>
      <c r="R31" s="7"/>
      <c r="S31" s="7"/>
      <c r="T31" s="7"/>
      <c r="U31" s="7"/>
      <c r="V31" s="7"/>
      <c r="W31" s="7"/>
    </row>
    <row r="32" spans="1:23">
      <c r="E32" s="49">
        <f>4*References!E32/(-2*References!E32+12*References!F32+3)</f>
        <v>0.23747252728999693</v>
      </c>
      <c r="F32" s="49">
        <f>9*References!F32/(-2*References!E32+12*References!F32+3)</f>
        <v>3.1851124280601877E-2</v>
      </c>
      <c r="I32" s="12" t="s">
        <v>1</v>
      </c>
      <c r="J32" s="6"/>
      <c r="K32" s="55">
        <f>4*References!K32/(-2*References!K32+12*References!L32+3)</f>
        <v>5.5628272251308904E-2</v>
      </c>
      <c r="L32" s="56">
        <f>9*References!L32/(-2*References!K32+12*References!L32+3)</f>
        <v>0.58679646596858637</v>
      </c>
      <c r="P32" s="7"/>
      <c r="Q32" s="7"/>
      <c r="R32" s="7"/>
      <c r="S32" s="7"/>
      <c r="T32" s="7"/>
      <c r="U32" s="7"/>
      <c r="V32" s="7"/>
      <c r="W32" s="7"/>
    </row>
    <row r="33" spans="5:23">
      <c r="E33" s="49">
        <f>4*References!E33/(-2*References!E33+12*References!F33+3)</f>
        <v>0.23475092931791602</v>
      </c>
      <c r="F33" s="49">
        <f>9*References!F33/(-2*References!E33+12*References!F33+3)</f>
        <v>3.488101697542826E-2</v>
      </c>
      <c r="I33" s="12" t="s">
        <v>2</v>
      </c>
      <c r="J33" s="6"/>
      <c r="K33" s="55">
        <f>4*References!K33/(-2*References!K33+12*References!L33+3)</f>
        <v>0.15927051671732523</v>
      </c>
      <c r="L33" s="56">
        <f>9*References!L33/(-2*References!K33+12*References!L33+3)</f>
        <v>0.12583586626139817</v>
      </c>
      <c r="P33" s="24"/>
      <c r="Q33" s="24"/>
      <c r="R33" s="24"/>
      <c r="S33" s="24"/>
      <c r="T33" s="24"/>
      <c r="U33" s="24"/>
      <c r="V33" s="24"/>
      <c r="W33" s="24"/>
    </row>
    <row r="34" spans="5:23">
      <c r="E34" s="49">
        <f>4*References!E34/(-2*References!E34+12*References!F34+3)</f>
        <v>0.23176402308926927</v>
      </c>
      <c r="F34" s="49">
        <f>9*References!F34/(-2*References!E34+12*References!F34+3)</f>
        <v>3.8140930285456599E-2</v>
      </c>
      <c r="I34" s="15" t="s">
        <v>0</v>
      </c>
      <c r="J34" s="16"/>
      <c r="K34" s="57">
        <f>4*References!K34/(-2*References!K34+12*References!L34+3)</f>
        <v>0.55660377358490576</v>
      </c>
      <c r="L34" s="58">
        <f>9*References!L34/(-2*References!K34+12*References!L34+3)</f>
        <v>0.51650943396226412</v>
      </c>
    </row>
    <row r="35" spans="5:23">
      <c r="E35" s="49">
        <f>4*References!E35/(-2*References!E35+12*References!F35+3)</f>
        <v>0.22844684561283687</v>
      </c>
      <c r="F35" s="49">
        <f>9*References!F35/(-2*References!E35+12*References!F35+3)</f>
        <v>4.172126552457469E-2</v>
      </c>
    </row>
    <row r="36" spans="5:23">
      <c r="E36" s="49">
        <f>4*References!E36/(-2*References!E36+12*References!F36+3)</f>
        <v>0.224737486713882</v>
      </c>
      <c r="F36" s="49">
        <f>9*References!F36/(-2*References!E36+12*References!F36+3)</f>
        <v>4.5709683143973966E-2</v>
      </c>
    </row>
    <row r="37" spans="5:23" ht="15.5">
      <c r="E37" s="49">
        <f>4*References!E37/(-2*References!E37+12*References!F37+3)</f>
        <v>0.22062072282020898</v>
      </c>
      <c r="F37" s="49">
        <f>9*References!F37/(-2*References!E37+12*References!F37+3)</f>
        <v>5.0133780949077777E-2</v>
      </c>
      <c r="I37" s="8" t="s">
        <v>20</v>
      </c>
      <c r="J37" s="9"/>
      <c r="K37" s="53"/>
      <c r="L37" s="54"/>
    </row>
    <row r="38" spans="5:23">
      <c r="E38" s="49">
        <f>4*References!E38/(-2*References!E38+12*References!F38+3)</f>
        <v>0.21611892326235432</v>
      </c>
      <c r="F38" s="49">
        <f>9*References!F38/(-2*References!E38+12*References!F38+3)</f>
        <v>5.4961832061068687E-2</v>
      </c>
      <c r="I38" s="12"/>
      <c r="J38" s="6"/>
      <c r="K38" s="50" t="s">
        <v>27</v>
      </c>
      <c r="L38" s="51" t="s">
        <v>28</v>
      </c>
    </row>
    <row r="39" spans="5:23">
      <c r="E39" s="49">
        <f>4*References!E39/(-2*References!E39+12*References!F39+3)</f>
        <v>0.21127098865918534</v>
      </c>
      <c r="F39" s="49">
        <f>9*References!F39/(-2*References!E39+12*References!F39+3)</f>
        <v>6.0158643793796963E-2</v>
      </c>
      <c r="I39" s="12" t="s">
        <v>0</v>
      </c>
      <c r="J39" s="6"/>
      <c r="K39" s="55">
        <f>4*References!K39/(-2*References!K39+12*References!L39+3)</f>
        <v>0.47686832740213525</v>
      </c>
      <c r="L39" s="56">
        <f>9*References!L39/(-2*References!K39+12*References!L39+3)</f>
        <v>0.52846975088967973</v>
      </c>
    </row>
    <row r="40" spans="5:23">
      <c r="E40" s="49">
        <f>4*References!E40/(-2*References!E40+12*References!F40+3)</f>
        <v>0.20605655706754342</v>
      </c>
      <c r="F40" s="49">
        <f>9*References!F40/(-2*References!E40+12*References!F40+3)</f>
        <v>6.5824651799680306E-2</v>
      </c>
      <c r="I40" s="12" t="s">
        <v>1</v>
      </c>
      <c r="J40" s="6"/>
      <c r="K40" s="55">
        <f>4*References!K40/(-2*References!K40+12*References!L40+3)</f>
        <v>7.567567567567568E-2</v>
      </c>
      <c r="L40" s="56">
        <f>9*References!L40/(-2*References!K40+12*References!L40+3)</f>
        <v>0.57567567567567568</v>
      </c>
    </row>
    <row r="41" spans="5:23">
      <c r="E41" s="49">
        <f>4*References!E41/(-2*References!E41+12*References!F41+3)</f>
        <v>0.20038744431796091</v>
      </c>
      <c r="F41" s="49">
        <f>9*References!F41/(-2*References!E41+12*References!F41+3)</f>
        <v>7.2138997531538893E-2</v>
      </c>
      <c r="I41" s="12" t="s">
        <v>2</v>
      </c>
      <c r="J41" s="6"/>
      <c r="K41" s="55">
        <f>4*References!K41/(-2*References!K41+12*References!L41+3)</f>
        <v>0.1521739130434783</v>
      </c>
      <c r="L41" s="56">
        <f>9*References!L41/(-2*References!K41+12*References!L41+3)</f>
        <v>0.19565217391304349</v>
      </c>
    </row>
    <row r="42" spans="5:23">
      <c r="E42" s="49">
        <f>4*References!E42/(-2*References!E42+12*References!F42+3)</f>
        <v>0.19423608741188794</v>
      </c>
      <c r="F42" s="49">
        <f>9*References!F42/(-2*References!E42+12*References!F42+3)</f>
        <v>7.9225125261985663E-2</v>
      </c>
      <c r="I42" s="15" t="s">
        <v>0</v>
      </c>
      <c r="J42" s="16"/>
      <c r="K42" s="57">
        <f>4*References!K42/(-2*References!K42+12*References!L42+3)</f>
        <v>0.47686832740213525</v>
      </c>
      <c r="L42" s="58">
        <f>9*References!L42/(-2*References!K42+12*References!L42+3)</f>
        <v>0.52846975088967973</v>
      </c>
    </row>
    <row r="43" spans="5:23">
      <c r="E43" s="49">
        <f>4*References!E43/(-2*References!E43+12*References!F43+3)</f>
        <v>0.18766133195663395</v>
      </c>
      <c r="F43" s="49">
        <f>9*References!F43/(-2*References!E43+12*References!F43+3)</f>
        <v>8.7119256582343832E-2</v>
      </c>
    </row>
    <row r="44" spans="5:23">
      <c r="E44" s="49">
        <f>4*References!E44/(-2*References!E44+12*References!F44+3)</f>
        <v>0.18068290931769354</v>
      </c>
      <c r="F44" s="49">
        <f>9*References!F44/(-2*References!E44+12*References!F44+3)</f>
        <v>9.5900416483686607E-2</v>
      </c>
    </row>
    <row r="45" spans="5:23">
      <c r="E45" s="49">
        <f>4*References!E45/(-2*References!E45+12*References!F45+3)</f>
        <v>0.17310525037580765</v>
      </c>
      <c r="F45" s="49">
        <f>9*References!F45/(-2*References!E45+12*References!F45+3)</f>
        <v>0.1060542513189546</v>
      </c>
    </row>
    <row r="46" spans="5:23">
      <c r="E46" s="49">
        <f>4*References!E46/(-2*References!E46+12*References!F46+3)</f>
        <v>0.16455767099934054</v>
      </c>
      <c r="F46" s="49">
        <f>9*References!F46/(-2*References!E46+12*References!F46+3)</f>
        <v>0.118396664182903</v>
      </c>
    </row>
    <row r="47" spans="5:23">
      <c r="E47" s="49">
        <f>4*References!E47/(-2*References!E47+12*References!F47+3)</f>
        <v>0.15481503270333172</v>
      </c>
      <c r="F47" s="49">
        <f>9*References!F47/(-2*References!E47+12*References!F47+3)</f>
        <v>0.13343871608130137</v>
      </c>
    </row>
    <row r="48" spans="5:23">
      <c r="E48" s="49">
        <f>4*References!E48/(-2*References!E48+12*References!F48+3)</f>
        <v>0.14409789451556157</v>
      </c>
      <c r="F48" s="49">
        <f>9*References!F48/(-2*References!E48+12*References!F48+3)</f>
        <v>0.15099078366506979</v>
      </c>
    </row>
    <row r="49" spans="5:6">
      <c r="E49" s="49">
        <f>4*References!E49/(-2*References!E49+12*References!F49+3)</f>
        <v>0.13275458489342951</v>
      </c>
      <c r="F49" s="49">
        <f>9*References!F49/(-2*References!E49+12*References!F49+3)</f>
        <v>0.17068734176841924</v>
      </c>
    </row>
    <row r="50" spans="5:6">
      <c r="E50" s="49">
        <f>4*References!E50/(-2*References!E50+12*References!F50+3)</f>
        <v>0.12083587524156683</v>
      </c>
      <c r="F50" s="49">
        <f>9*References!F50/(-2*References!E50+12*References!F50+3)</f>
        <v>0.19261299596669015</v>
      </c>
    </row>
    <row r="51" spans="5:6">
      <c r="E51" s="49">
        <f>4*References!E51/(-2*References!E51+12*References!F51+3)</f>
        <v>0.10839305996611473</v>
      </c>
      <c r="F51" s="49">
        <f>9*References!F51/(-2*References!E51+12*References!F51+3)</f>
        <v>0.21685976042157459</v>
      </c>
    </row>
    <row r="52" spans="5:6">
      <c r="E52" s="49">
        <f>4*References!E52/(-2*References!E52+12*References!F52+3)</f>
        <v>9.5640794832493298E-2</v>
      </c>
      <c r="F52" s="49">
        <f>9*References!F52/(-2*References!E52+12*References!F52+3)</f>
        <v>0.24315118870575186</v>
      </c>
    </row>
    <row r="53" spans="5:6">
      <c r="E53" s="49">
        <f>4*References!E53/(-2*References!E53+12*References!F53+3)</f>
        <v>8.2808958848778841E-2</v>
      </c>
      <c r="F53" s="49">
        <f>9*References!F53/(-2*References!E53+12*References!F53+3)</f>
        <v>0.27083049229510431</v>
      </c>
    </row>
    <row r="54" spans="5:6">
      <c r="E54" s="49">
        <f>4*References!E54/(-2*References!E54+12*References!F54+3)</f>
        <v>7.011148279739636E-2</v>
      </c>
      <c r="F54" s="49">
        <f>9*References!F54/(-2*References!E54+12*References!F54+3)</f>
        <v>0.29929699323793801</v>
      </c>
    </row>
    <row r="55" spans="5:6">
      <c r="E55" s="49">
        <f>4*References!E55/(-2*References!E55+12*References!F55+3)</f>
        <v>5.7898605250211753E-2</v>
      </c>
      <c r="F55" s="49">
        <f>9*References!F55/(-2*References!E55+12*References!F55+3)</f>
        <v>0.32823184855056198</v>
      </c>
    </row>
    <row r="56" spans="5:6">
      <c r="E56" s="49">
        <f>4*References!E56/(-2*References!E56+12*References!F56+3)</f>
        <v>4.6696387401869571E-2</v>
      </c>
      <c r="F56" s="49">
        <f>9*References!F56/(-2*References!E56+12*References!F56+3)</f>
        <v>0.35704893548757444</v>
      </c>
    </row>
    <row r="57" spans="5:6">
      <c r="E57" s="49">
        <f>4*References!E57/(-2*References!E57+12*References!F57+3)</f>
        <v>3.6813625799392687E-2</v>
      </c>
      <c r="F57" s="49">
        <f>9*References!F57/(-2*References!E57+12*References!F57+3)</f>
        <v>0.38500537223664011</v>
      </c>
    </row>
    <row r="58" spans="5:6">
      <c r="E58" s="49">
        <f>4*References!E58/(-2*References!E58+12*References!F58+3)</f>
        <v>2.8153962861571947E-2</v>
      </c>
      <c r="F58" s="49">
        <f>9*References!F58/(-2*References!E58+12*References!F58+3)</f>
        <v>0.41166265378145717</v>
      </c>
    </row>
    <row r="59" spans="5:6">
      <c r="E59" s="49">
        <f>4*References!E59/(-2*References!E59+12*References!F59+3)</f>
        <v>2.0664000164152152E-2</v>
      </c>
      <c r="F59" s="49">
        <f>9*References!F59/(-2*References!E59+12*References!F59+3)</f>
        <v>0.4366144500067366</v>
      </c>
    </row>
    <row r="60" spans="5:6">
      <c r="E60" s="49">
        <f>4*References!E60/(-2*References!E60+12*References!F60+3)</f>
        <v>1.4470497965380122E-2</v>
      </c>
      <c r="F60" s="49">
        <f>9*References!F60/(-2*References!E60+12*References!F60+3)</f>
        <v>0.45937643682054691</v>
      </c>
    </row>
    <row r="61" spans="5:6">
      <c r="E61" s="49">
        <f>4*References!E61/(-2*References!E61+12*References!F61+3)</f>
        <v>9.5960304981743717E-3</v>
      </c>
      <c r="F61" s="49">
        <f>9*References!F61/(-2*References!E61+12*References!F61+3)</f>
        <v>0.47966464773926648</v>
      </c>
    </row>
    <row r="62" spans="5:6">
      <c r="E62" s="49">
        <f>4*References!E62/(-2*References!E62+12*References!F62+3)</f>
        <v>5.9704999641383627E-3</v>
      </c>
      <c r="F62" s="49">
        <f>9*References!F62/(-2*References!E62+12*References!F62+3)</f>
        <v>0.49748692762553437</v>
      </c>
    </row>
    <row r="63" spans="5:6">
      <c r="E63" s="49">
        <f>4*References!E63/(-2*References!E63+12*References!F63+3)</f>
        <v>3.4592915512098692E-3</v>
      </c>
      <c r="F63" s="49">
        <f>9*References!F63/(-2*References!E63+12*References!F63+3)</f>
        <v>0.5130694152738311</v>
      </c>
    </row>
    <row r="64" spans="5:6">
      <c r="E64" s="49">
        <f>4*References!E64/(-2*References!E64+12*References!F64+3)</f>
        <v>1.9432450287873507E-3</v>
      </c>
      <c r="F64" s="49">
        <f>9*References!F64/(-2*References!E64+12*References!F64+3)</f>
        <v>0.52652791196569304</v>
      </c>
    </row>
    <row r="65" spans="5:6">
      <c r="E65" s="49">
        <f>4*References!E65/(-2*References!E65+12*References!F65+3)</f>
        <v>1.3736636095060186E-3</v>
      </c>
      <c r="F65" s="49">
        <f>9*References!F65/(-2*References!E65+12*References!F65+3)</f>
        <v>0.53802773736158094</v>
      </c>
    </row>
    <row r="66" spans="5:6">
      <c r="E66" s="49">
        <f>4*References!E66/(-2*References!E66+12*References!F66+3)</f>
        <v>1.6739061875288915E-3</v>
      </c>
      <c r="F66" s="49">
        <f>9*References!F66/(-2*References!E66+12*References!F66+3)</f>
        <v>0.54795221950847461</v>
      </c>
    </row>
    <row r="67" spans="5:6">
      <c r="E67" s="49">
        <f>4*References!E67/(-2*References!E67+12*References!F67+3)</f>
        <v>2.7622102327856724E-3</v>
      </c>
      <c r="F67" s="49">
        <f>9*References!F67/(-2*References!E67+12*References!F67+3)</f>
        <v>0.5565357953801563</v>
      </c>
    </row>
    <row r="68" spans="5:6">
      <c r="E68" s="49">
        <f>4*References!E68/(-2*References!E68+12*References!F68+3)</f>
        <v>4.6332623397974818E-3</v>
      </c>
      <c r="F68" s="49">
        <f>9*References!F68/(-2*References!E68+12*References!F68+3)</f>
        <v>0.56383813473825806</v>
      </c>
    </row>
    <row r="69" spans="5:6">
      <c r="E69" s="49">
        <f>4*References!E69/(-2*References!E69+12*References!F69+3)</f>
        <v>7.2273829941807127E-3</v>
      </c>
      <c r="F69" s="49">
        <f>9*References!F69/(-2*References!E69+12*References!F69+3)</f>
        <v>0.56994793536552069</v>
      </c>
    </row>
    <row r="70" spans="5:6">
      <c r="E70" s="49">
        <f>4*References!E70/(-2*References!E70+12*References!F70+3)</f>
        <v>1.0444470423461765E-2</v>
      </c>
      <c r="F70" s="49">
        <f>9*References!F70/(-2*References!E70+12*References!F70+3)</f>
        <v>0.57491147790600317</v>
      </c>
    </row>
    <row r="71" spans="5:6">
      <c r="E71" s="49">
        <f>4*References!E71/(-2*References!E71+12*References!F71+3)</f>
        <v>1.4229434994429824E-2</v>
      </c>
      <c r="F71" s="49">
        <f>9*References!F71/(-2*References!E71+12*References!F71+3)</f>
        <v>0.57875511985599459</v>
      </c>
    </row>
    <row r="72" spans="5:6">
      <c r="E72" s="49">
        <f>4*References!E72/(-2*References!E72+12*References!F72+3)</f>
        <v>1.8489454623386671E-2</v>
      </c>
      <c r="F72" s="49">
        <f>9*References!F72/(-2*References!E72+12*References!F72+3)</f>
        <v>0.58162423702886945</v>
      </c>
    </row>
    <row r="73" spans="5:6">
      <c r="E73" s="49">
        <f>4*References!E73/(-2*References!E73+12*References!F73+3)</f>
        <v>2.3116508801910785E-2</v>
      </c>
      <c r="F73" s="49">
        <f>9*References!F73/(-2*References!E73+12*References!F73+3)</f>
        <v>0.58366718525450401</v>
      </c>
    </row>
    <row r="74" spans="5:6">
      <c r="E74" s="49">
        <f>4*References!E74/(-2*References!E74+12*References!F74+3)</f>
        <v>2.8063856911267261E-2</v>
      </c>
      <c r="F74" s="49">
        <f>9*References!F74/(-2*References!E74+12*References!F74+3)</f>
        <v>0.58501122460244559</v>
      </c>
    </row>
    <row r="75" spans="5:6">
      <c r="E75" s="49">
        <f>4*References!E75/(-2*References!E75+12*References!F75+3)</f>
        <v>3.3292607348828787E-2</v>
      </c>
      <c r="F75" s="49">
        <f>9*References!F75/(-2*References!E75+12*References!F75+3)</f>
        <v>0.58584922464763522</v>
      </c>
    </row>
    <row r="76" spans="5:6">
      <c r="E76" s="49">
        <f>4*References!E76/(-2*References!E76+12*References!F76+3)</f>
        <v>3.8752625264385783E-2</v>
      </c>
      <c r="F76" s="49">
        <f>9*References!F76/(-2*References!E76+12*References!F76+3)</f>
        <v>0.58636451219522967</v>
      </c>
    </row>
    <row r="77" spans="5:6">
      <c r="E77" s="49">
        <f>4*References!E77/(-2*References!E77+12*References!F77+3)</f>
        <v>4.4385149820460948E-2</v>
      </c>
      <c r="F77" s="49">
        <f>9*References!F77/(-2*References!E77+12*References!F77+3)</f>
        <v>0.58664281682323127</v>
      </c>
    </row>
    <row r="78" spans="5:6">
      <c r="E78" s="49">
        <f>4*References!E78/(-2*References!E78+12*References!F78+3)</f>
        <v>5.0068144105497064E-2</v>
      </c>
      <c r="F78" s="49">
        <f>9*References!F78/(-2*References!E78+12*References!F78+3)</f>
        <v>0.58675024466834769</v>
      </c>
    </row>
    <row r="79" spans="5:6">
      <c r="E79" s="49">
        <f>4*References!E79/(-2*References!E79+12*References!F79+3)</f>
        <v>5.5734393560189915E-2</v>
      </c>
      <c r="F79" s="49">
        <f>9*References!F79/(-2*References!E79+12*References!F79+3)</f>
        <v>0.58674207490236319</v>
      </c>
    </row>
    <row r="80" spans="5:6">
      <c r="E80" s="49">
        <f>4*References!E80/(-2*References!E80+12*References!F80+3)</f>
        <v>6.1438773277736169E-2</v>
      </c>
      <c r="F80" s="49">
        <f>9*References!F80/(-2*References!E80+12*References!F80+3)</f>
        <v>0.58662620172259483</v>
      </c>
    </row>
    <row r="81" spans="5:6">
      <c r="E81" s="49">
        <f>4*References!E81/(-2*References!E81+12*References!F81+3)</f>
        <v>6.7239291629373976E-2</v>
      </c>
      <c r="F81" s="49">
        <f>9*References!F81/(-2*References!E81+12*References!F81+3)</f>
        <v>0.58639576139630745</v>
      </c>
    </row>
    <row r="82" spans="5:6">
      <c r="E82" s="49">
        <f>4*References!E82/(-2*References!E82+12*References!F82+3)</f>
        <v>7.3157454899652891E-2</v>
      </c>
      <c r="F82" s="49">
        <f>9*References!F82/(-2*References!E82+12*References!F82+3)</f>
        <v>0.58606003034178689</v>
      </c>
    </row>
    <row r="83" spans="5:6">
      <c r="E83" s="49">
        <f>4*References!E83/(-2*References!E83+12*References!F83+3)</f>
        <v>7.9228990607927E-2</v>
      </c>
      <c r="F83" s="49">
        <f>9*References!F83/(-2*References!E83+12*References!F83+3)</f>
        <v>0.58562337582615454</v>
      </c>
    </row>
    <row r="84" spans="5:6">
      <c r="E84" s="49">
        <f>4*References!E84/(-2*References!E84+12*References!F84+3)</f>
        <v>8.5487300962315535E-2</v>
      </c>
      <c r="F84" s="49">
        <f>9*References!F84/(-2*References!E84+12*References!F84+3)</f>
        <v>0.58508848686931381</v>
      </c>
    </row>
    <row r="85" spans="5:6">
      <c r="E85" s="49">
        <f>4*References!E85/(-2*References!E85+12*References!F85+3)</f>
        <v>9.1947462253210224E-2</v>
      </c>
      <c r="F85" s="49">
        <f>9*References!F85/(-2*References!E85+12*References!F85+3)</f>
        <v>0.58446117128935571</v>
      </c>
    </row>
    <row r="86" spans="5:6">
      <c r="E86" s="49">
        <f>4*References!E86/(-2*References!E86+12*References!F86+3)</f>
        <v>9.8622263413384523E-2</v>
      </c>
      <c r="F86" s="49">
        <f>9*References!F86/(-2*References!E86+12*References!F86+3)</f>
        <v>0.58374657333768432</v>
      </c>
    </row>
    <row r="87" spans="5:6">
      <c r="E87" s="49">
        <f>4*References!E87/(-2*References!E87+12*References!F87+3)</f>
        <v>0.10553287032567167</v>
      </c>
      <c r="F87" s="49">
        <f>9*References!F87/(-2*References!E87+12*References!F87+3)</f>
        <v>0.582948275575908</v>
      </c>
    </row>
    <row r="88" spans="5:6">
      <c r="E88" s="49">
        <f>4*References!E88/(-2*References!E88+12*References!F88+3)</f>
        <v>0.11270183812060833</v>
      </c>
      <c r="F88" s="49">
        <f>9*References!F88/(-2*References!E88+12*References!F88+3)</f>
        <v>0.582070930212781</v>
      </c>
    </row>
    <row r="89" spans="5:6">
      <c r="E89" s="49">
        <f>4*References!E89/(-2*References!E89+12*References!F89+3)</f>
        <v>0.12015457180161467</v>
      </c>
      <c r="F89" s="49">
        <f>9*References!F89/(-2*References!E89+12*References!F89+3)</f>
        <v>0.58111726458414592</v>
      </c>
    </row>
    <row r="90" spans="5:6">
      <c r="E90" s="49">
        <f>4*References!E90/(-2*References!E90+12*References!F90+3)</f>
        <v>0.12790246192123697</v>
      </c>
      <c r="F90" s="49">
        <f>9*References!F90/(-2*References!E90+12*References!F90+3)</f>
        <v>0.58009017090904591</v>
      </c>
    </row>
    <row r="91" spans="5:6">
      <c r="E91" s="49">
        <f>4*References!E91/(-2*References!E91+12*References!F91+3)</f>
        <v>0.13596550140093422</v>
      </c>
      <c r="F91" s="49">
        <f>9*References!F91/(-2*References!E91+12*References!F91+3)</f>
        <v>0.57899093950059588</v>
      </c>
    </row>
    <row r="92" spans="5:6">
      <c r="E92" s="49">
        <f>4*References!E92/(-2*References!E92+12*References!F92+3)</f>
        <v>0.14436538286974065</v>
      </c>
      <c r="F92" s="49">
        <f>9*References!F92/(-2*References!E92+12*References!F92+3)</f>
        <v>0.57782032309380749</v>
      </c>
    </row>
    <row r="93" spans="5:6">
      <c r="E93" s="49">
        <f>4*References!E93/(-2*References!E93+12*References!F93+3)</f>
        <v>0.1531111568970846</v>
      </c>
      <c r="F93" s="49">
        <f>9*References!F93/(-2*References!E93+12*References!F93+3)</f>
        <v>0.57658133305861747</v>
      </c>
    </row>
    <row r="94" spans="5:6">
      <c r="E94" s="49">
        <f>4*References!E94/(-2*References!E94+12*References!F94+3)</f>
        <v>0.16222335573415078</v>
      </c>
      <c r="F94" s="49">
        <f>9*References!F94/(-2*References!E94+12*References!F94+3)</f>
        <v>0.57527467338924121</v>
      </c>
    </row>
    <row r="95" spans="5:6">
      <c r="E95" s="49">
        <f>4*References!E95/(-2*References!E95+12*References!F95+3)</f>
        <v>0.17171100803883632</v>
      </c>
      <c r="F95" s="49">
        <f>9*References!F95/(-2*References!E95+12*References!F95+3)</f>
        <v>0.5739005703085871</v>
      </c>
    </row>
    <row r="96" spans="5:6">
      <c r="E96" s="49">
        <f>4*References!E96/(-2*References!E96+12*References!F96+3)</f>
        <v>0.18159274829143937</v>
      </c>
      <c r="F96" s="49">
        <f>9*References!F96/(-2*References!E96+12*References!F96+3)</f>
        <v>0.57245722959092549</v>
      </c>
    </row>
    <row r="97" spans="5:6">
      <c r="E97" s="49">
        <f>4*References!E97/(-2*References!E97+12*References!F97+3)</f>
        <v>0.19187762938687258</v>
      </c>
      <c r="F97" s="49">
        <f>9*References!F97/(-2*References!E97+12*References!F97+3)</f>
        <v>0.57094475896924179</v>
      </c>
    </row>
    <row r="98" spans="5:6">
      <c r="E98" s="49">
        <f>4*References!E98/(-2*References!E98+12*References!F98+3)</f>
        <v>0.20257303101990912</v>
      </c>
      <c r="F98" s="49">
        <f>9*References!F98/(-2*References!E98+12*References!F98+3)</f>
        <v>0.56936285585178492</v>
      </c>
    </row>
    <row r="99" spans="5:6">
      <c r="E99" s="49">
        <f>4*References!E99/(-2*References!E99+12*References!F99+3)</f>
        <v>0.21368924548738835</v>
      </c>
      <c r="F99" s="49">
        <f>9*References!F99/(-2*References!E99+12*References!F99+3)</f>
        <v>0.56771091464802403</v>
      </c>
    </row>
    <row r="100" spans="5:6">
      <c r="E100" s="49">
        <f>4*References!E100/(-2*References!E100+12*References!F100+3)</f>
        <v>0.22522824447893602</v>
      </c>
      <c r="F100" s="49">
        <f>9*References!F100/(-2*References!E100+12*References!F100+3)</f>
        <v>0.56599010058980559</v>
      </c>
    </row>
    <row r="101" spans="5:6">
      <c r="E101" s="49">
        <f>4*References!E101/(-2*References!E101+12*References!F101+3)</f>
        <v>0.23718913241358666</v>
      </c>
      <c r="F101" s="49">
        <f>9*References!F101/(-2*References!E101+12*References!F101+3)</f>
        <v>0.56420188942199268</v>
      </c>
    </row>
    <row r="102" spans="5:6">
      <c r="E102" s="49">
        <f>4*References!E102/(-2*References!E102+12*References!F102+3)</f>
        <v>0.24956451714906086</v>
      </c>
      <c r="F102" s="49">
        <f>9*References!F102/(-2*References!E102+12*References!F102+3)</f>
        <v>0.56234888378270131</v>
      </c>
    </row>
    <row r="103" spans="5:6">
      <c r="E103" s="49">
        <f>4*References!E103/(-2*References!E103+12*References!F103+3)</f>
        <v>0.26233873126692198</v>
      </c>
      <c r="F103" s="49">
        <f>9*References!F103/(-2*References!E103+12*References!F103+3)</f>
        <v>0.56043661077703788</v>
      </c>
    </row>
    <row r="104" spans="5:6">
      <c r="E104" s="49">
        <f>4*References!E104/(-2*References!E104+12*References!F104+3)</f>
        <v>0.27550344995017523</v>
      </c>
      <c r="F104" s="49">
        <f>9*References!F104/(-2*References!E104+12*References!F104+3)</f>
        <v>0.55846876629211317</v>
      </c>
    </row>
    <row r="105" spans="5:6">
      <c r="E105" s="49">
        <f>4*References!E105/(-2*References!E105+12*References!F105+3)</f>
        <v>0.2890385604198451</v>
      </c>
      <c r="F105" s="49">
        <f>9*References!F105/(-2*References!E105+12*References!F105+3)</f>
        <v>0.55644807861844148</v>
      </c>
    </row>
    <row r="106" spans="5:6">
      <c r="E106" s="49">
        <f>4*References!E106/(-2*References!E106+12*References!F106+3)</f>
        <v>0.30290445094528529</v>
      </c>
      <c r="F106" s="49">
        <f>9*References!F106/(-2*References!E106+12*References!F106+3)</f>
        <v>0.55438018062537509</v>
      </c>
    </row>
    <row r="107" spans="5:6">
      <c r="E107" s="49">
        <f>4*References!E107/(-2*References!E107+12*References!F107+3)</f>
        <v>0.31705982510998987</v>
      </c>
      <c r="F107" s="49">
        <f>9*References!F107/(-2*References!E107+12*References!F107+3)</f>
        <v>0.55227064913486068</v>
      </c>
    </row>
    <row r="108" spans="5:6">
      <c r="E108" s="49">
        <f>4*References!E108/(-2*References!E108+12*References!F108+3)</f>
        <v>0.33147618816917784</v>
      </c>
      <c r="F108" s="49">
        <f>9*References!F108/(-2*References!E108+12*References!F108+3)</f>
        <v>0.55011869579962214</v>
      </c>
    </row>
    <row r="109" spans="5:6">
      <c r="E109" s="49">
        <f>4*References!E109/(-2*References!E109+12*References!F109+3)</f>
        <v>0.34611648013558105</v>
      </c>
      <c r="F109" s="49">
        <f>9*References!F109/(-2*References!E109+12*References!F109+3)</f>
        <v>0.54792551666018841</v>
      </c>
    </row>
    <row r="110" spans="5:6">
      <c r="E110" s="49">
        <f>4*References!E110/(-2*References!E110+12*References!F110+3)</f>
        <v>0.36080517739757789</v>
      </c>
      <c r="F110" s="49">
        <f>9*References!F110/(-2*References!E110+12*References!F110+3)</f>
        <v>0.5457216845236027</v>
      </c>
    </row>
    <row r="111" spans="5:6">
      <c r="E111" s="49">
        <f>4*References!E111/(-2*References!E111+12*References!F111+3)</f>
        <v>0.3752816911552897</v>
      </c>
      <c r="F111" s="49">
        <f>9*References!F111/(-2*References!E111+12*References!F111+3)</f>
        <v>0.54355339489232057</v>
      </c>
    </row>
    <row r="112" spans="5:6">
      <c r="E112" s="49">
        <f>4*References!E112/(-2*References!E112+12*References!F112+3)</f>
        <v>0.38946403766393634</v>
      </c>
      <c r="F112" s="49">
        <f>9*References!F112/(-2*References!E112+12*References!F112+3)</f>
        <v>0.54143414618980734</v>
      </c>
    </row>
    <row r="113" spans="5:6">
      <c r="E113" s="49">
        <f>4*References!E113/(-2*References!E113+12*References!F113+3)</f>
        <v>0.40351010484728761</v>
      </c>
      <c r="F113" s="49">
        <f>9*References!F113/(-2*References!E113+12*References!F113+3)</f>
        <v>0.53933672694119439</v>
      </c>
    </row>
    <row r="114" spans="5:6">
      <c r="E114" s="49">
        <f>4*References!E114/(-2*References!E114+12*References!F114+3)</f>
        <v>0.41751837788200552</v>
      </c>
      <c r="F114" s="49">
        <f>9*References!F114/(-2*References!E114+12*References!F114+3)</f>
        <v>0.53724378360112324</v>
      </c>
    </row>
    <row r="115" spans="5:6">
      <c r="E115" s="49">
        <f>4*References!E115/(-2*References!E115+12*References!F115+3)</f>
        <v>0.43128136721739213</v>
      </c>
      <c r="F115" s="49">
        <f>9*References!F115/(-2*References!E115+12*References!F115+3)</f>
        <v>0.53518860597759199</v>
      </c>
    </row>
    <row r="116" spans="5:6">
      <c r="E116" s="49">
        <f>4*References!E116/(-2*References!E116+12*References!F116+3)</f>
        <v>0.4445031532352548</v>
      </c>
      <c r="F116" s="49">
        <f>9*References!F116/(-2*References!E116+12*References!F116+3)</f>
        <v>0.53321905638698508</v>
      </c>
    </row>
    <row r="117" spans="5:6">
      <c r="E117" s="49">
        <f>4*References!E117/(-2*References!E117+12*References!F117+3)</f>
        <v>0.45709508817283351</v>
      </c>
      <c r="F117" s="49">
        <f>9*References!F117/(-2*References!E117+12*References!F117+3)</f>
        <v>0.53134816309595234</v>
      </c>
    </row>
    <row r="118" spans="5:6">
      <c r="E118" s="49">
        <f>4*References!E118/(-2*References!E118+12*References!F118+3)</f>
        <v>0.46912835054078894</v>
      </c>
      <c r="F118" s="49">
        <f>9*References!F118/(-2*References!E118+12*References!F118+3)</f>
        <v>0.52955915691655486</v>
      </c>
    </row>
    <row r="119" spans="5:6">
      <c r="E119" s="49">
        <f>4*References!E119/(-2*References!E119+12*References!F119+3)</f>
        <v>0.48061589022721868</v>
      </c>
      <c r="F119" s="49">
        <f>9*References!F119/(-2*References!E119+12*References!F119+3)</f>
        <v>0.52784508294767762</v>
      </c>
    </row>
    <row r="120" spans="5:6">
      <c r="E120" s="49">
        <f>4*References!E120/(-2*References!E120+12*References!F120+3)</f>
        <v>0.49149748110938246</v>
      </c>
      <c r="F120" s="49">
        <f>9*References!F120/(-2*References!E120+12*References!F120+3)</f>
        <v>0.52621692731400316</v>
      </c>
    </row>
    <row r="121" spans="5:6">
      <c r="E121" s="49">
        <f>4*References!E121/(-2*References!E121+12*References!F121+3)</f>
        <v>0.50173023593907229</v>
      </c>
      <c r="F121" s="49">
        <f>9*References!F121/(-2*References!E121+12*References!F121+3)</f>
        <v>0.5246843260275289</v>
      </c>
    </row>
    <row r="122" spans="5:6">
      <c r="E122" s="49">
        <f>4*References!E122/(-2*References!E122+12*References!F122+3)</f>
        <v>0.51129659489806834</v>
      </c>
      <c r="F122" s="49">
        <f>9*References!F122/(-2*References!E122+12*References!F122+3)</f>
        <v>0.5232507455970874</v>
      </c>
    </row>
    <row r="123" spans="5:6">
      <c r="E123" s="49">
        <f>4*References!E123/(-2*References!E123+12*References!F123+3)</f>
        <v>0.52021145324080376</v>
      </c>
      <c r="F123" s="49">
        <f>9*References!F123/(-2*References!E123+12*References!F123+3)</f>
        <v>0.52191622737702825</v>
      </c>
    </row>
    <row r="124" spans="5:6">
      <c r="E124" s="49">
        <f>4*References!E124/(-2*References!E124+12*References!F124+3)</f>
        <v>0.52851469624056457</v>
      </c>
      <c r="F124" s="49">
        <f>9*References!F124/(-2*References!E124+12*References!F124+3)</f>
        <v>0.52067737401169556</v>
      </c>
    </row>
    <row r="125" spans="5:6">
      <c r="E125" s="49">
        <f>4*References!E125/(-2*References!E125+12*References!F125+3)</f>
        <v>0.53625517906186448</v>
      </c>
      <c r="F125" s="49">
        <f>9*References!F125/(-2*References!E125+12*References!F125+3)</f>
        <v>0.51952524184701143</v>
      </c>
    </row>
    <row r="126" spans="5:6">
      <c r="E126" s="49">
        <f>4*References!E126/(-2*References!E126+12*References!F126+3)</f>
        <v>0.54346022529850069</v>
      </c>
      <c r="F126" s="49">
        <f>9*References!F126/(-2*References!E126+12*References!F126+3)</f>
        <v>0.51845209434350337</v>
      </c>
    </row>
    <row r="127" spans="5:6">
      <c r="E127" s="49">
        <f>4*References!E127/(-2*References!E127+12*References!F127+3)</f>
        <v>0.55016513326816863</v>
      </c>
      <c r="F127" s="49">
        <f>9*References!F127/(-2*References!E127+12*References!F127+3)</f>
        <v>0.51745175819164446</v>
      </c>
    </row>
    <row r="128" spans="5:6">
      <c r="E128" s="49">
        <f>4*References!E128/(-2*References!E128+12*References!F128+3)</f>
        <v>0.55648558218102673</v>
      </c>
      <c r="F128" s="49">
        <f>9*References!F128/(-2*References!E128+12*References!F128+3)</f>
        <v>0.51650767181730572</v>
      </c>
    </row>
    <row r="129" spans="5:6">
      <c r="E129" s="49">
        <f>4*References!E129/(-2*References!E129+12*References!F129+3)</f>
        <v>0.56250141885409433</v>
      </c>
      <c r="F129" s="49">
        <f>9*References!F129/(-2*References!E129+12*References!F129+3)</f>
        <v>0.51560816236605478</v>
      </c>
    </row>
    <row r="130" spans="5:6">
      <c r="E130" s="49">
        <f>4*References!E130/(-2*References!E130+12*References!F130+3)</f>
        <v>0.56817494471720653</v>
      </c>
      <c r="F130" s="49">
        <f>9*References!F130/(-2*References!E130+12*References!F130+3)</f>
        <v>0.51475889297753086</v>
      </c>
    </row>
    <row r="131" spans="5:6">
      <c r="E131" s="49">
        <f>4*References!E131/(-2*References!E131+12*References!F131+3)</f>
        <v>0.57348064412184019</v>
      </c>
      <c r="F131" s="49">
        <f>9*References!F131/(-2*References!E131+12*References!F131+3)</f>
        <v>0.51396424797808626</v>
      </c>
    </row>
    <row r="132" spans="5:6">
      <c r="E132" s="49">
        <f>4*References!E132/(-2*References!E132+12*References!F132+3)</f>
        <v>0.57842838973326238</v>
      </c>
      <c r="F132" s="49">
        <f>9*References!F132/(-2*References!E132+12*References!F132+3)</f>
        <v>0.51322304756899184</v>
      </c>
    </row>
    <row r="133" spans="5:6">
      <c r="E133" s="49">
        <f>4*References!E133/(-2*References!E133+12*References!F133+3)</f>
        <v>0.58302093095907537</v>
      </c>
      <c r="F133" s="49">
        <f>9*References!F133/(-2*References!E133+12*References!F133+3)</f>
        <v>0.51253514526710398</v>
      </c>
    </row>
    <row r="134" spans="5:6">
      <c r="E134" s="49">
        <f>4*References!E134/(-2*References!E134+12*References!F134+3)</f>
        <v>0.58727625125826444</v>
      </c>
      <c r="F134" s="49">
        <f>9*References!F134/(-2*References!E134+12*References!F134+3)</f>
        <v>0.5118981734137853</v>
      </c>
    </row>
    <row r="135" spans="5:6">
      <c r="E135" s="49">
        <f>4*References!E135/(-2*References!E135+12*References!F135+3)</f>
        <v>0.59117553796385303</v>
      </c>
      <c r="F135" s="49">
        <f>9*References!F135/(-2*References!E135+12*References!F135+3)</f>
        <v>0.51131511978207944</v>
      </c>
    </row>
    <row r="136" spans="5:6">
      <c r="E136" s="49">
        <f>4*References!E136/(-2*References!E136+12*References!F136+3)</f>
        <v>0.59466323487545159</v>
      </c>
      <c r="F136" s="49">
        <f>9*References!F136/(-2*References!E136+12*References!F136+3)</f>
        <v>0.51079450721748387</v>
      </c>
    </row>
    <row r="137" spans="5:6">
      <c r="E137" s="49">
        <f>4*References!E137/(-2*References!E137+12*References!F137+3)</f>
        <v>0.59773082452004966</v>
      </c>
      <c r="F137" s="49">
        <f>9*References!F137/(-2*References!E137+12*References!F137+3)</f>
        <v>0.51033762654693948</v>
      </c>
    </row>
    <row r="138" spans="5:6">
      <c r="E138" s="49">
        <f>4*References!E138/(-2*References!E138+12*References!F138+3)</f>
        <v>0.60047656870532173</v>
      </c>
      <c r="F138" s="49">
        <f>9*References!F138/(-2*References!E138+12*References!F138+3)</f>
        <v>0.50992851469420175</v>
      </c>
    </row>
    <row r="139" spans="5:6">
      <c r="E139" s="49">
        <f>4*References!E139/(-2*References!E139+12*References!F139+3)</f>
        <v>0.60300468289788745</v>
      </c>
      <c r="F139" s="49">
        <f>9*References!F139/(-2*References!E139+12*References!F139+3)</f>
        <v>0.50954929756531686</v>
      </c>
    </row>
    <row r="140" spans="5:6">
      <c r="E140" s="49">
        <f>4*References!E140/(-2*References!E140+12*References!F140+3)</f>
        <v>0.60530519463845989</v>
      </c>
      <c r="F140" s="49">
        <f>9*References!F140/(-2*References!E140+12*References!F140+3)</f>
        <v>0.509204220804231</v>
      </c>
    </row>
    <row r="141" spans="5:6">
      <c r="E141" s="49">
        <f>4*References!E141/(-2*References!E141+12*References!F141+3)</f>
        <v>0.6073644186952083</v>
      </c>
      <c r="F141" s="49">
        <f>9*References!F141/(-2*References!E141+12*References!F141+3)</f>
        <v>0.50889533719571878</v>
      </c>
    </row>
    <row r="142" spans="5:6">
      <c r="E142" s="49">
        <f>4*References!E142/(-2*References!E142+12*References!F142+3)</f>
        <v>0.60920364987637998</v>
      </c>
      <c r="F142" s="49">
        <f>9*References!F142/(-2*References!E142+12*References!F142+3)</f>
        <v>0.50861945251854301</v>
      </c>
    </row>
    <row r="143" spans="5:6">
      <c r="E143" s="49">
        <f>4*References!E143/(-2*References!E143+12*References!F143+3)</f>
        <v>0.61079729604593014</v>
      </c>
      <c r="F143" s="49">
        <f>9*References!F143/(-2*References!E143+12*References!F143+3)</f>
        <v>0.50838040559311048</v>
      </c>
    </row>
    <row r="144" spans="5:6">
      <c r="E144" s="49">
        <f>4*References!E144/(-2*References!E144+12*References!F144+3)</f>
        <v>0.61212555292439275</v>
      </c>
      <c r="F144" s="49">
        <f>9*References!F144/(-2*References!E144+12*References!F144+3)</f>
        <v>0.50818116706134109</v>
      </c>
    </row>
    <row r="145" spans="5:6">
      <c r="E145" s="49">
        <f>4*References!E145/(-2*References!E145+12*References!F145+3)</f>
        <v>0.61323841784006705</v>
      </c>
      <c r="F145" s="49">
        <f>9*References!F145/(-2*References!E145+12*References!F145+3)</f>
        <v>0.50801423732398987</v>
      </c>
    </row>
    <row r="146" spans="5:6">
      <c r="E146" s="49">
        <f>4*References!E146/(-2*References!E146+12*References!F146+3)</f>
        <v>0.61425163221829671</v>
      </c>
      <c r="F146" s="49">
        <f>9*References!F146/(-2*References!E146+12*References!F146+3)</f>
        <v>0.50786225516725558</v>
      </c>
    </row>
    <row r="147" spans="5:6">
      <c r="E147" s="49">
        <f>4*References!E147/(-2*References!E147+12*References!F147+3)</f>
        <v>0.61523253237022824</v>
      </c>
      <c r="F147" s="49">
        <f>9*References!F147/(-2*References!E147+12*References!F147+3)</f>
        <v>0.50771512014446574</v>
      </c>
    </row>
    <row r="148" spans="5:6">
      <c r="E148" s="49">
        <f>4*References!E148/(-2*References!E148+12*References!F148+3)</f>
        <v>0.61614381388790984</v>
      </c>
      <c r="F148" s="49">
        <f>9*References!F148/(-2*References!E148+12*References!F148+3)</f>
        <v>0.50757842791681351</v>
      </c>
    </row>
    <row r="149" spans="5:6">
      <c r="E149" s="49">
        <f>4*References!E149/(-2*References!E149+12*References!F149+3)</f>
        <v>0.61695898423364026</v>
      </c>
      <c r="F149" s="49">
        <f>9*References!F149/(-2*References!E149+12*References!F149+3)</f>
        <v>0.50745615236495389</v>
      </c>
    </row>
    <row r="150" spans="5:6">
      <c r="E150" s="49">
        <f>4*References!E150/(-2*References!E150+12*References!F150+3)</f>
        <v>0.61770932039270443</v>
      </c>
      <c r="F150" s="49">
        <f>9*References!F150/(-2*References!E150+12*References!F150+3)</f>
        <v>0.5073436019410944</v>
      </c>
    </row>
    <row r="151" spans="5:6">
      <c r="E151" s="49">
        <f>4*References!E151/(-2*References!E151+12*References!F151+3)</f>
        <v>0.61844886385963016</v>
      </c>
      <c r="F151" s="49">
        <f>9*References!F151/(-2*References!E151+12*References!F151+3)</f>
        <v>0.50723267042105546</v>
      </c>
    </row>
    <row r="152" spans="5:6">
      <c r="E152" s="49">
        <f>4*References!E152/(-2*References!E152+12*References!F152+3)</f>
        <v>0.61920532162450004</v>
      </c>
      <c r="F152" s="49">
        <f>9*References!F152/(-2*References!E152+12*References!F152+3)</f>
        <v>0.50711920175632486</v>
      </c>
    </row>
    <row r="153" spans="5:6">
      <c r="E153" s="49">
        <f>4*References!E153/(-2*References!E153+12*References!F153+3)</f>
        <v>0.6199423401928621</v>
      </c>
      <c r="F153" s="49">
        <f>9*References!F153/(-2*References!E153+12*References!F153+3)</f>
        <v>0.50700864897107067</v>
      </c>
    </row>
    <row r="154" spans="5:6">
      <c r="E154" s="49">
        <f>4*References!E154/(-2*References!E154+12*References!F154+3)</f>
        <v>0.62065649618920271</v>
      </c>
      <c r="F154" s="49">
        <f>9*References!F154/(-2*References!E154+12*References!F154+3)</f>
        <v>0.5069015255716196</v>
      </c>
    </row>
    <row r="155" spans="5:6">
      <c r="E155" s="49">
        <f>4*References!E155/(-2*References!E155+12*References!F155+3)</f>
        <v>0.6213343251158675</v>
      </c>
      <c r="F155" s="49">
        <f>9*References!F155/(-2*References!E155+12*References!F155+3)</f>
        <v>0.50679985123261984</v>
      </c>
    </row>
    <row r="156" spans="5:6">
      <c r="E156" s="49">
        <f>4*References!E156/(-2*References!E156+12*References!F156+3)</f>
        <v>0.62189064241896952</v>
      </c>
      <c r="F156" s="49">
        <f>9*References!F156/(-2*References!E156+12*References!F156+3)</f>
        <v>0.50671640363715453</v>
      </c>
    </row>
    <row r="157" spans="5:6">
      <c r="E157" s="49">
        <f>4*References!E157/(-2*References!E157+12*References!F157+3)</f>
        <v>0.62227800069450157</v>
      </c>
      <c r="F157" s="49">
        <f>9*References!F157/(-2*References!E157+12*References!F157+3)</f>
        <v>0.50665829989582478</v>
      </c>
    </row>
    <row r="158" spans="5:6">
      <c r="E158" s="49">
        <f>4*References!E158/(-2*References!E158+12*References!F158+3)</f>
        <v>0.62255742200891329</v>
      </c>
      <c r="F158" s="49">
        <f>9*References!F158/(-2*References!E158+12*References!F158+3)</f>
        <v>0.50661638669866305</v>
      </c>
    </row>
    <row r="159" spans="5:6">
      <c r="E159" s="49">
        <f>4*References!E159/(-2*References!E159+12*References!F159+3)</f>
        <v>0.62280543153213297</v>
      </c>
      <c r="F159" s="49">
        <f>9*References!F159/(-2*References!E159+12*References!F159+3)</f>
        <v>0.50657918527017998</v>
      </c>
    </row>
    <row r="160" spans="5:6">
      <c r="E160" s="49">
        <f>4*References!E160/(-2*References!E160+12*References!F160+3)</f>
        <v>0.62301403541731681</v>
      </c>
      <c r="F160" s="49">
        <f>9*References!F160/(-2*References!E160+12*References!F160+3)</f>
        <v>0.50654789468740247</v>
      </c>
    </row>
    <row r="161" spans="5:6">
      <c r="E161" s="49">
        <f>4*References!E161/(-2*References!E161+12*References!F161+3)</f>
        <v>0.62318017222560018</v>
      </c>
      <c r="F161" s="49">
        <f>9*References!F161/(-2*References!E161+12*References!F161+3)</f>
        <v>0.50652297416615999</v>
      </c>
    </row>
    <row r="162" spans="5:6">
      <c r="E162" s="49">
        <f>4*References!E162/(-2*References!E162+12*References!F162+3)</f>
        <v>0.62332128363359707</v>
      </c>
      <c r="F162" s="49">
        <f>9*References!F162/(-2*References!E162+12*References!F162+3)</f>
        <v>0.50650180745496043</v>
      </c>
    </row>
    <row r="163" spans="5:6">
      <c r="E163" s="49">
        <f>4*References!E163/(-2*References!E163+12*References!F163+3)</f>
        <v>0.62336621796711622</v>
      </c>
      <c r="F163" s="49">
        <f>9*References!F163/(-2*References!E163+12*References!F163+3)</f>
        <v>0.50649506730493266</v>
      </c>
    </row>
    <row r="164" spans="5:6">
      <c r="E164" s="49">
        <f>4*References!E164/(-2*References!E164+12*References!F164+3)</f>
        <v>0.62336617272907602</v>
      </c>
      <c r="F164" s="49">
        <f>9*References!F164/(-2*References!E164+12*References!F164+3)</f>
        <v>0.50649507409063865</v>
      </c>
    </row>
    <row r="165" spans="5:6">
      <c r="E165" s="49">
        <f>4*References!E165/(-2*References!E165+12*References!F165+3)</f>
        <v>0.62336614799477741</v>
      </c>
      <c r="F165" s="49">
        <f>9*References!F165/(-2*References!E165+12*References!F165+3)</f>
        <v>0.5064950778007834</v>
      </c>
    </row>
    <row r="166" spans="5:6">
      <c r="E166" s="49">
        <f>4*References!E166/(-2*References!E166+12*References!F166+3)</f>
        <v>0.62336615998286538</v>
      </c>
      <c r="F166" s="49">
        <f>9*References!F166/(-2*References!E166+12*References!F166+3)</f>
        <v>0.50649507600257027</v>
      </c>
    </row>
    <row r="167" spans="5:6">
      <c r="E167" s="49">
        <f>4*References!E167/(-2*References!E167+12*References!F167+3)</f>
        <v>0.62336614849470928</v>
      </c>
      <c r="F167" s="49">
        <f>9*References!F167/(-2*References!E167+12*References!F167+3)</f>
        <v>0.5064950777257935</v>
      </c>
    </row>
    <row r="168" spans="5:6">
      <c r="E168" s="49">
        <f>4*References!E168/(-2*References!E168+12*References!F168+3)</f>
        <v>0.62336612341061226</v>
      </c>
      <c r="F168" s="49">
        <f>9*References!F168/(-2*References!E168+12*References!F168+3)</f>
        <v>0.50649508148840816</v>
      </c>
    </row>
    <row r="169" spans="5:6">
      <c r="E169" s="49">
        <f>4*References!E169/(-2*References!E169+12*References!F169+3)</f>
        <v>0.62336620052944847</v>
      </c>
      <c r="F169" s="49">
        <f>9*References!F169/(-2*References!E169+12*References!F169+3)</f>
        <v>0.50649506992058269</v>
      </c>
    </row>
    <row r="170" spans="5:6">
      <c r="E170" s="49">
        <f>4*References!E170/(-2*References!E170+12*References!F170+3)</f>
        <v>0.62336613497189575</v>
      </c>
      <c r="F170" s="49">
        <f>9*References!F170/(-2*References!E170+12*References!F170+3)</f>
        <v>0.50649507975421559</v>
      </c>
    </row>
    <row r="171" spans="5:6">
      <c r="E171" s="49">
        <f>4*References!E171/(-2*References!E171+12*References!F171+3)</f>
        <v>0.62336620266373155</v>
      </c>
      <c r="F171" s="49">
        <f>9*References!F171/(-2*References!E171+12*References!F171+3)</f>
        <v>0.50649506960044022</v>
      </c>
    </row>
    <row r="172" spans="5:6">
      <c r="E172" s="49">
        <f>4*References!E172/(-2*References!E172+12*References!F172+3)</f>
        <v>0.62336611029064593</v>
      </c>
      <c r="F172" s="49">
        <f>9*References!F172/(-2*References!E172+12*References!F172+3)</f>
        <v>0.50649508345640304</v>
      </c>
    </row>
    <row r="173" spans="5:6">
      <c r="E173" s="49">
        <f>4*References!E173/(-2*References!E173+12*References!F173+3)</f>
        <v>0.62336616637624132</v>
      </c>
      <c r="F173" s="49">
        <f>9*References!F173/(-2*References!E173+12*References!F173+3)</f>
        <v>0.50649507504356373</v>
      </c>
    </row>
    <row r="174" spans="5:6">
      <c r="E174" s="49">
        <f>4*References!E174/(-2*References!E174+12*References!F174+3)</f>
        <v>0.62336597042988251</v>
      </c>
      <c r="F174" s="49">
        <f>9*References!F174/(-2*References!E174+12*References!F174+3)</f>
        <v>0.5064951044355176</v>
      </c>
    </row>
    <row r="175" spans="5:6">
      <c r="E175" s="49">
        <f>4*References!E175/(-2*References!E175+12*References!F175+3)</f>
        <v>0.62336630392816383</v>
      </c>
      <c r="F175" s="49">
        <f>9*References!F175/(-2*References!E175+12*References!F175+3)</f>
        <v>0.50649505441077547</v>
      </c>
    </row>
    <row r="176" spans="5:6">
      <c r="E176" s="49">
        <f>4*References!E176/(-2*References!E176+12*References!F176+3)</f>
        <v>0.62336586282809647</v>
      </c>
      <c r="F176" s="49">
        <f>9*References!F176/(-2*References!E176+12*References!F176+3)</f>
        <v>0.50649512057578538</v>
      </c>
    </row>
    <row r="177" spans="5:6">
      <c r="E177" s="49">
        <f>4*References!E177/(-2*References!E177+12*References!F177+3)</f>
        <v>0.62336623625329146</v>
      </c>
      <c r="F177" s="49">
        <f>9*References!F177/(-2*References!E177+12*References!F177+3)</f>
        <v>0.50649506456200633</v>
      </c>
    </row>
    <row r="178" spans="5:6">
      <c r="E178" s="49">
        <f>4*References!E178/(-2*References!E178+12*References!F178+3)</f>
        <v>0.62336602571588162</v>
      </c>
      <c r="F178" s="49">
        <f>9*References!F178/(-2*References!E178+12*References!F178+3)</f>
        <v>0.50649509614261778</v>
      </c>
    </row>
    <row r="179" spans="5:6">
      <c r="E179" s="49">
        <f>4*References!E179/(-2*References!E179+12*References!F179+3)</f>
        <v>0.62336580772707995</v>
      </c>
      <c r="F179" s="49">
        <f>9*References!F179/(-2*References!E179+12*References!F179+3)</f>
        <v>0.50649512884093795</v>
      </c>
    </row>
    <row r="180" spans="5:6">
      <c r="E180" s="49">
        <f>4*References!E180/(-2*References!E180+12*References!F180+3)</f>
        <v>0.62336692147324535</v>
      </c>
      <c r="F180" s="49">
        <f>9*References!F180/(-2*References!E180+12*References!F180+3)</f>
        <v>0.50649496177901321</v>
      </c>
    </row>
    <row r="181" spans="5:6">
      <c r="E181" s="49">
        <f>4*References!E181/(-2*References!E181+12*References!F181+3)</f>
        <v>0.62336546580449093</v>
      </c>
      <c r="F181" s="49">
        <f>9*References!F181/(-2*References!E181+12*References!F181+3)</f>
        <v>0.50649518012932637</v>
      </c>
    </row>
    <row r="182" spans="5:6">
      <c r="E182" s="49">
        <f>4*References!E182/(-2*References!E182+12*References!F182+3)</f>
        <v>0.62336519897863862</v>
      </c>
      <c r="F182" s="49">
        <f>9*References!F182/(-2*References!E182+12*References!F182+3)</f>
        <v>0.50649522015320414</v>
      </c>
    </row>
    <row r="183" spans="5:6">
      <c r="E183" s="49">
        <f>4*References!E183/(-2*References!E183+12*References!F183+3)</f>
        <v>0.62336647562069247</v>
      </c>
      <c r="F183" s="49">
        <f>9*References!F183/(-2*References!E183+12*References!F183+3)</f>
        <v>0.50649502865689611</v>
      </c>
    </row>
    <row r="184" spans="5:6">
      <c r="E184" s="49">
        <f>4*References!E184/(-2*References!E184+12*References!F184+3)</f>
        <v>0.62336504847446461</v>
      </c>
      <c r="F184" s="49">
        <f>9*References!F184/(-2*References!E184+12*References!F184+3)</f>
        <v>0.50649524272883029</v>
      </c>
    </row>
    <row r="185" spans="5:6">
      <c r="E185" s="49">
        <f>4*References!E185/(-2*References!E185+12*References!F185+3)</f>
        <v>0.62336469545631912</v>
      </c>
      <c r="F185" s="49">
        <f>9*References!F185/(-2*References!E185+12*References!F185+3)</f>
        <v>0.50649529568155216</v>
      </c>
    </row>
    <row r="186" spans="5:6">
      <c r="E186" s="49">
        <f>4*References!E186/(-2*References!E186+12*References!F186+3)</f>
        <v>0.62336692585459463</v>
      </c>
      <c r="F186" s="49">
        <f>9*References!F186/(-2*References!E186+12*References!F186+3)</f>
        <v>0.5064949611218108</v>
      </c>
    </row>
    <row r="187" spans="5:6">
      <c r="E187" s="49">
        <f>4*References!E187/(-2*References!E187+12*References!F187+3)</f>
        <v>0.62336404597985529</v>
      </c>
      <c r="F187" s="49">
        <f>9*References!F187/(-2*References!E187+12*References!F187+3)</f>
        <v>0.50649539310302172</v>
      </c>
    </row>
    <row r="188" spans="5:6">
      <c r="E188" s="49">
        <f>4*References!E188/(-2*References!E188+12*References!F188+3)</f>
        <v>0.62336602571588151</v>
      </c>
      <c r="F188" s="49">
        <f>9*References!F188/(-2*References!E188+12*References!F188+3)</f>
        <v>0.50649509614261778</v>
      </c>
    </row>
    <row r="189" spans="5:6">
      <c r="E189" s="49">
        <f>4*References!E189/(-2*References!E189+12*References!F189+3)</f>
        <v>0.62336807614107215</v>
      </c>
      <c r="F189" s="49">
        <f>9*References!F189/(-2*References!E189+12*References!F189+3)</f>
        <v>0.50649478857883912</v>
      </c>
    </row>
    <row r="190" spans="5:6">
      <c r="E190" s="49">
        <f>4*References!E190/(-2*References!E190+12*References!F190+3)</f>
        <v>0.62336503830242729</v>
      </c>
      <c r="F190" s="49">
        <f>9*References!F190/(-2*References!E190+12*References!F190+3)</f>
        <v>0.50649524425463588</v>
      </c>
    </row>
    <row r="191" spans="5:6">
      <c r="E191" s="49">
        <f>4*References!E191/(-2*References!E191+12*References!F191+3)</f>
        <v>0.62336387992969156</v>
      </c>
      <c r="F191" s="49">
        <f>9*References!F191/(-2*References!E191+12*References!F191+3)</f>
        <v>0.50649541801054632</v>
      </c>
    </row>
    <row r="192" spans="5:6">
      <c r="E192" s="49">
        <f>4*References!E192/(-2*References!E192+12*References!F192+3)</f>
        <v>0.6233675028438298</v>
      </c>
      <c r="F192" s="49">
        <f>9*References!F192/(-2*References!E192+12*References!F192+3)</f>
        <v>0.50649487457342557</v>
      </c>
    </row>
    <row r="193" spans="5:6">
      <c r="E193" s="49">
        <f>4*References!E193/(-2*References!E193+12*References!F193+3)</f>
        <v>0.62336760927861057</v>
      </c>
      <c r="F193" s="49">
        <f>9*References!F193/(-2*References!E193+12*References!F193+3)</f>
        <v>0.50649485860820831</v>
      </c>
    </row>
    <row r="194" spans="5:6">
      <c r="E194" s="49">
        <f>4*References!E194/(-2*References!E194+12*References!F194+3)</f>
        <v>0.6233626289315225</v>
      </c>
      <c r="F194" s="49">
        <f>9*References!F194/(-2*References!E194+12*References!F194+3)</f>
        <v>0.50649560566027163</v>
      </c>
    </row>
    <row r="195" spans="5:6">
      <c r="E195" s="49">
        <f>4*References!E195/(-2*References!E195+12*References!F195+3)</f>
        <v>0.62337147718365382</v>
      </c>
      <c r="F195" s="49">
        <f>9*References!F195/(-2*References!E195+12*References!F195+3)</f>
        <v>0.50649427842245187</v>
      </c>
    </row>
    <row r="196" spans="5:6">
      <c r="E196" s="49">
        <f>4*References!E196/(-2*References!E196+12*References!F196+3)</f>
        <v>0.6233692335486587</v>
      </c>
      <c r="F196" s="49">
        <f>9*References!F196/(-2*References!E196+12*References!F196+3)</f>
        <v>0.50649461496770121</v>
      </c>
    </row>
    <row r="197" spans="5:6">
      <c r="E197" s="49">
        <f>4*References!E197/(-2*References!E197+12*References!F197+3)</f>
        <v>0.62335880182118464</v>
      </c>
      <c r="F197" s="49">
        <f>9*References!F197/(-2*References!E197+12*References!F197+3)</f>
        <v>0.50649617972682226</v>
      </c>
    </row>
    <row r="198" spans="5:6">
      <c r="E198" s="49">
        <f>4*References!E198/(-2*References!E198+12*References!F198+3)</f>
        <v>0.6233644421516672</v>
      </c>
      <c r="F198" s="49">
        <f>9*References!F198/(-2*References!E198+12*References!F198+3)</f>
        <v>0.50649533367724997</v>
      </c>
    </row>
    <row r="199" spans="5:6">
      <c r="E199" s="49">
        <f>4*References!E199/(-2*References!E199+12*References!F199+3)</f>
        <v>0.6233570318712649</v>
      </c>
      <c r="F199" s="49">
        <f>9*References!F199/(-2*References!E199+12*References!F199+3)</f>
        <v>0.50649644521931025</v>
      </c>
    </row>
    <row r="200" spans="5:6">
      <c r="E200" s="49">
        <f>4*References!E200/(-2*References!E200+12*References!F200+3)</f>
        <v>0.62335346691332161</v>
      </c>
      <c r="F200" s="49">
        <f>9*References!F200/(-2*References!E200+12*References!F200+3)</f>
        <v>0.50649697996300169</v>
      </c>
    </row>
    <row r="201" spans="5:6">
      <c r="E201" s="49">
        <f>4*References!E201/(-2*References!E201+12*References!F201+3)</f>
        <v>0.62335149592408701</v>
      </c>
      <c r="F201" s="49">
        <f>9*References!F201/(-2*References!E201+12*References!F201+3)</f>
        <v>0.50649727561138702</v>
      </c>
    </row>
    <row r="202" spans="5:6">
      <c r="E202" s="49">
        <f>4*References!E202/(-2*References!E202+12*References!F202+3)</f>
        <v>0.62336728423309751</v>
      </c>
      <c r="F202" s="49">
        <f>9*References!F202/(-2*References!E202+12*References!F202+3)</f>
        <v>0.50649490736503544</v>
      </c>
    </row>
    <row r="203" spans="5:6">
      <c r="E203" s="49">
        <f>4*References!E203/(-2*References!E203+12*References!F203+3)</f>
        <v>0.62335660563089179</v>
      </c>
      <c r="F203" s="49">
        <f>9*References!F203/(-2*References!E203+12*References!F203+3)</f>
        <v>0.50649650915536626</v>
      </c>
    </row>
    <row r="204" spans="5:6">
      <c r="E204" s="49">
        <f>4*References!E204/(-2*References!E204+12*References!F204+3)</f>
        <v>0.2568651940761591</v>
      </c>
      <c r="F204" s="49">
        <f>9*References!F204/(-2*References!E204+12*References!F204+3)</f>
        <v>1.647655027791152E-2</v>
      </c>
    </row>
  </sheetData>
  <mergeCells count="2">
    <mergeCell ref="A1:C1"/>
    <mergeCell ref="E1:F1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TitlePage</vt:lpstr>
      <vt:lpstr>Measurement data</vt:lpstr>
      <vt:lpstr>Plots</vt:lpstr>
      <vt:lpstr>Raw Data</vt:lpstr>
      <vt:lpstr>References</vt:lpstr>
      <vt:lpstr>Reference1976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2014-04-10T17:17:58Z</cp:lastPrinted>
  <dcterms:created xsi:type="dcterms:W3CDTF">2006-09-16T00:00:00Z</dcterms:created>
  <dcterms:modified xsi:type="dcterms:W3CDTF">2024-08-06T05:29:56Z</dcterms:modified>
</cp:coreProperties>
</file>